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esktop\ivy\ivy_excel\"/>
    </mc:Choice>
  </mc:AlternateContent>
  <xr:revisionPtr revIDLastSave="0" documentId="13_ncr:1_{1AA80F7E-558D-421F-A0A6-C53B0EFDCA08}" xr6:coauthVersionLast="47" xr6:coauthVersionMax="47" xr10:uidLastSave="{00000000-0000-0000-0000-000000000000}"/>
  <bookViews>
    <workbookView xWindow="-120" yWindow="-120" windowWidth="20730" windowHeight="11160" activeTab="1" xr2:uid="{00000000-000D-0000-FFFF-FFFF00000000}"/>
  </bookViews>
  <sheets>
    <sheet name="Dashboard" sheetId="16" r:id="rId1"/>
    <sheet name="Insights" sheetId="17" r:id="rId2"/>
    <sheet name="Pivot" sheetId="8" r:id="rId3"/>
    <sheet name="Analysis" sheetId="6" r:id="rId4"/>
    <sheet name="supply_chain_data" sheetId="1" r:id="rId5"/>
    <sheet name="Pivot Table for Report" sheetId="2" state="hidden" r:id="rId6"/>
    <sheet name="Pivot Table for Dashboard" sheetId="3" state="hidden" r:id="rId7"/>
  </sheets>
  <definedNames>
    <definedName name="_xlnm._FilterDatabase" localSheetId="3" hidden="1">Analysis!$A$1:$X$101</definedName>
    <definedName name="_xlnm._FilterDatabase" localSheetId="4" hidden="1">supply_chain_data!$A$1:$X$101</definedName>
    <definedName name="_xlcn.WorksheetConnection_Operations_LeadTime_Analysis.xlsxTable13" hidden="1">Table13[]</definedName>
    <definedName name="_xlcn.WorksheetConnection_Operations_LeadTime_Analysis.xlsxTable3" hidden="1">Table3[]</definedName>
    <definedName name="Slicer_Product_type">#N/A</definedName>
    <definedName name="Slicer_Product_type2">#N/A</definedName>
    <definedName name="Slicer_Product_type3">#N/A</definedName>
    <definedName name="Slicer_Shipping_carriers">#N/A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3" name="Table13" connection="WorksheetConnection_Operations_LeadTime_Analysis.xlsx!Table13"/>
          <x15:modelTable id="Table3" name="Table3" connection="WorksheetConnection_Operations_LeadTime_Analysis.xlsx!Table3"/>
        </x15:modelTables>
      </x15:dataModel>
    </ext>
  </extLst>
</workbook>
</file>

<file path=xl/calcChain.xml><?xml version="1.0" encoding="utf-8"?>
<calcChain xmlns="http://schemas.openxmlformats.org/spreadsheetml/2006/main">
  <c r="AD10" i="6" l="1"/>
  <c r="AD8" i="6"/>
  <c r="AD5" i="6"/>
  <c r="AD3" i="6"/>
  <c r="AD1"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9" i="6"/>
  <c r="Y10" i="6"/>
  <c r="Y11" i="6"/>
  <c r="Y12" i="6"/>
  <c r="Y13" i="6"/>
  <c r="Y14" i="6"/>
  <c r="Y15" i="6"/>
  <c r="Y16" i="6"/>
  <c r="Y17" i="6"/>
  <c r="Y18" i="6"/>
  <c r="Y19" i="6"/>
  <c r="Y20" i="6"/>
  <c r="Y5" i="6"/>
  <c r="Y6" i="6"/>
  <c r="Y7" i="6"/>
  <c r="Y8" i="6"/>
  <c r="Y2" i="6"/>
  <c r="Y3" i="6"/>
  <c r="Y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92DB86-5C3E-4AF8-AB78-5A4E6CDB3A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9331F34-B7F2-425C-A758-2F40270E13A2}" name="WorksheetConnection_Operations_LeadTime_Analysis.xlsx!Table13" type="102" refreshedVersion="8" minRefreshableVersion="5">
    <extLst>
      <ext xmlns:x15="http://schemas.microsoft.com/office/spreadsheetml/2010/11/main" uri="{DE250136-89BD-433C-8126-D09CA5730AF9}">
        <x15:connection id="Table13" autoDelete="1">
          <x15:rangePr sourceName="_xlcn.WorksheetConnection_Operations_LeadTime_Analysis.xlsxTable13"/>
        </x15:connection>
      </ext>
    </extLst>
  </connection>
  <connection id="3" xr16:uid="{8C29848B-FD2F-4FAE-A40E-D8F8E2A132FB}" name="WorksheetConnection_Operations_LeadTime_Analysis.xlsx!Table3" type="102" refreshedVersion="8" minRefreshableVersion="5">
    <extLst>
      <ext xmlns:x15="http://schemas.microsoft.com/office/spreadsheetml/2010/11/main" uri="{DE250136-89BD-433C-8126-D09CA5730AF9}">
        <x15:connection id="Table3">
          <x15:rangePr sourceName="_xlcn.WorksheetConnection_Operations_LeadTime_Analysis.xlsxTable3"/>
        </x15:connection>
      </ext>
    </extLst>
  </connection>
</connections>
</file>

<file path=xl/sharedStrings.xml><?xml version="1.0" encoding="utf-8"?>
<sst xmlns="http://schemas.openxmlformats.org/spreadsheetml/2006/main" count="2453" uniqueCount="260">
  <si>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</si>
  <si>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</si>
  <si>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</si>
  <si>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</si>
  <si>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</si>
  <si>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</si>
  <si>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</si>
  <si>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</si>
  <si>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</si>
  <si>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</si>
  <si>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</si>
  <si>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</si>
  <si>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</si>
  <si>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</si>
  <si>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</si>
  <si>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</si>
  <si>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</si>
  <si>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</si>
  <si>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</si>
  <si>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</si>
  <si>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</si>
  <si>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</si>
  <si>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</si>
  <si>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</si>
  <si>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</si>
  <si>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</si>
  <si>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</si>
  <si>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</si>
  <si>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</si>
  <si>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</si>
  <si>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</si>
  <si>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</si>
  <si>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</si>
  <si>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</si>
  <si>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</si>
  <si>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</si>
  <si>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</si>
  <si>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</si>
  <si>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</si>
  <si>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</si>
  <si>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</si>
  <si>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</si>
  <si>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</si>
  <si>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</si>
  <si>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</si>
  <si>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</si>
  <si>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</si>
  <si>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</si>
  <si>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</si>
  <si>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</si>
  <si>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</si>
  <si>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</si>
  <si>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</si>
  <si>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</si>
  <si>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</si>
  <si>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</si>
  <si>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</si>
  <si>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</si>
  <si>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</si>
  <si>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</si>
  <si>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</si>
  <si>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</si>
  <si>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</si>
  <si>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</si>
  <si>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</si>
  <si>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</si>
  <si>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</si>
  <si>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</si>
  <si>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</si>
  <si>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</si>
  <si>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</si>
  <si>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</si>
  <si>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</si>
  <si>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</si>
  <si>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</si>
  <si>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</si>
  <si>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</si>
  <si>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</si>
  <si>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</si>
  <si>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</si>
  <si>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</si>
  <si>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</si>
  <si>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</si>
  <si>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</si>
  <si>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</si>
  <si>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</si>
  <si>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</si>
  <si>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</si>
  <si>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</si>
  <si>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</si>
  <si>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</si>
  <si>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</si>
  <si>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</si>
  <si>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</si>
  <si>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</si>
  <si>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</si>
  <si>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</si>
  <si>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</si>
  <si>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</si>
  <si>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</si>
  <si>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</si>
  <si>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</si>
  <si>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</si>
  <si>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</si>
  <si>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</si>
  <si>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</si>
  <si>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</si>
  <si>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</si>
  <si>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</si>
  <si>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</si>
  <si>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</si>
  <si>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</si>
  <si>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</si>
  <si>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</si>
  <si>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</si>
  <si>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</si>
  <si>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</si>
  <si>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</si>
  <si>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</si>
  <si>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</si>
  <si>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</si>
  <si>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</si>
  <si>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</si>
  <si>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</si>
  <si>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</si>
  <si>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</si>
  <si>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</si>
  <si>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</si>
  <si>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</si>
  <si>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</si>
  <si>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</si>
  <si>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</si>
  <si>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</si>
  <si>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</si>
  <si>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</si>
  <si>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</si>
  <si>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</si>
  <si>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</si>
  <si>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</si>
  <si>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</si>
  <si>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</si>
  <si>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</si>
  <si>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</si>
  <si>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</si>
  <si>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</si>
  <si>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</si>
  <si>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</si>
  <si>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</si>
  <si>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</si>
  <si>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</si>
  <si>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</si>
  <si>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</si>
  <si>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</si>
  <si>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</si>
  <si>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Sum of Revenue generated</t>
  </si>
  <si>
    <t>Grand Total</t>
  </si>
  <si>
    <t>Product Price</t>
  </si>
  <si>
    <t>Column Labels</t>
  </si>
  <si>
    <t>Sum of Number of products sold</t>
  </si>
  <si>
    <t>Average of Lead times</t>
  </si>
  <si>
    <t>Average of Manufacturing costs</t>
  </si>
  <si>
    <t>Sum of Stock levels</t>
  </si>
  <si>
    <t>Sum of Order quantities</t>
  </si>
  <si>
    <t>Sum of Shipping costs</t>
  </si>
  <si>
    <t>Sum of Costs</t>
  </si>
  <si>
    <t>Sum of Defect rates</t>
  </si>
  <si>
    <t>Average of Defect rates</t>
  </si>
  <si>
    <t>Total Revenue</t>
  </si>
  <si>
    <t>Row Labels</t>
  </si>
  <si>
    <t>Total Product Sold</t>
  </si>
  <si>
    <t>Higest Selling Product</t>
  </si>
  <si>
    <t xml:space="preserve">higest revenue generated by product </t>
  </si>
  <si>
    <t>Average of Shipping costs</t>
  </si>
  <si>
    <t>Total Production volumes</t>
  </si>
  <si>
    <t>Revenue Contributed by Product</t>
  </si>
  <si>
    <t>Sum of Lead time</t>
  </si>
  <si>
    <t>Shipping_LT</t>
  </si>
  <si>
    <t>Supplier_LT</t>
  </si>
  <si>
    <t>Mfg_LT</t>
  </si>
  <si>
    <t>Column2</t>
  </si>
  <si>
    <t>Average of Shipping_LT</t>
  </si>
  <si>
    <t>Shipping Lead Time</t>
  </si>
  <si>
    <t>Manufacturing Lead Time</t>
  </si>
  <si>
    <t>Supplier Lead Time</t>
  </si>
  <si>
    <t>1-5</t>
  </si>
  <si>
    <t>6-10</t>
  </si>
  <si>
    <t>11-15</t>
  </si>
  <si>
    <t>16-20</t>
  </si>
  <si>
    <t>21-25</t>
  </si>
  <si>
    <t>26-30</t>
  </si>
  <si>
    <t>Manufacturing costs(₹)</t>
  </si>
  <si>
    <t>Defect rates (%)</t>
  </si>
  <si>
    <t>Sum of Availability</t>
  </si>
  <si>
    <t>Total Sum of Shipping costs</t>
  </si>
  <si>
    <t>Total Sum of Order quantities</t>
  </si>
  <si>
    <t>Count of Location</t>
  </si>
  <si>
    <t>Count of Inspection results</t>
  </si>
  <si>
    <t>Quantity sold</t>
  </si>
  <si>
    <t>Revenue</t>
  </si>
  <si>
    <t>Cosmetics</t>
  </si>
  <si>
    <t>Haircare</t>
  </si>
  <si>
    <t>Skincare</t>
  </si>
  <si>
    <t>Total Lead Time</t>
  </si>
  <si>
    <t>Average of Total Lead Time</t>
  </si>
  <si>
    <t>Total Products Sold</t>
  </si>
  <si>
    <t>Total Production Volume</t>
  </si>
  <si>
    <t>Avg total lead time</t>
  </si>
  <si>
    <t>Product with max total lead time</t>
  </si>
  <si>
    <t>Active supplier</t>
  </si>
  <si>
    <t>Supply Chain &amp; Operations Dashboard</t>
  </si>
  <si>
    <r>
      <t xml:space="preserve">1) Analyze and optimize the supply chain operations, including </t>
    </r>
    <r>
      <rPr>
        <b/>
        <sz val="11"/>
        <color theme="1"/>
        <rFont val="Calibri"/>
        <family val="2"/>
        <scheme val="minor"/>
      </rPr>
      <t>manufacturing, shipping, and supplier performance.</t>
    </r>
  </si>
  <si>
    <r>
      <t xml:space="preserve">2) Identify </t>
    </r>
    <r>
      <rPr>
        <b/>
        <sz val="11"/>
        <color theme="1"/>
        <rFont val="Calibri"/>
        <family val="2"/>
        <scheme val="minor"/>
      </rPr>
      <t xml:space="preserve">bottlenecks, delays, and high-impact products/suppliers </t>
    </r>
    <r>
      <rPr>
        <sz val="11"/>
        <color theme="1"/>
        <rFont val="Calibri"/>
        <family val="2"/>
        <scheme val="minor"/>
      </rPr>
      <t>to enable informed operational decisions.</t>
    </r>
  </si>
  <si>
    <t>1) Data corresponds to the same reporting period for all products.</t>
  </si>
  <si>
    <t>2) Each SKU represents a single product type and location.</t>
  </si>
  <si>
    <t>3) Lead times (manufacturing, supplier, shipping) are additive for total supply chain lead time.</t>
  </si>
  <si>
    <t>4) Inspection results reflect actual product quality at the manufacturing stage.</t>
  </si>
  <si>
    <t>Methodology</t>
  </si>
  <si>
    <r>
      <t xml:space="preserve">1) </t>
    </r>
    <r>
      <rPr>
        <b/>
        <sz val="12"/>
        <color theme="1"/>
        <rFont val="Calibri"/>
        <family val="2"/>
        <scheme val="minor"/>
      </rPr>
      <t xml:space="preserve">Data Analysis: </t>
    </r>
    <r>
      <rPr>
        <sz val="11"/>
        <color theme="1"/>
        <rFont val="Calibri"/>
        <family val="2"/>
        <scheme val="minor"/>
      </rPr>
      <t>Pivot tables and charts were used to aggregate sales, production, lead times, and supplier coverage.</t>
    </r>
  </si>
  <si>
    <r>
      <t xml:space="preserve">2) </t>
    </r>
    <r>
      <rPr>
        <b/>
        <sz val="12"/>
        <color theme="1"/>
        <rFont val="Calibri"/>
        <family val="2"/>
        <scheme val="minor"/>
      </rPr>
      <t>KPI Calculation:</t>
    </r>
  </si>
  <si>
    <r>
      <t xml:space="preserve">        </t>
    </r>
    <r>
      <rPr>
        <b/>
        <sz val="10"/>
        <color theme="1"/>
        <rFont val="Calibri"/>
        <family val="2"/>
        <scheme val="minor"/>
      </rPr>
      <t>i)</t>
    </r>
    <r>
      <rPr>
        <b/>
        <sz val="11"/>
        <color rgb="FF002060"/>
        <rFont val="Calibri"/>
        <family val="2"/>
        <scheme val="minor"/>
      </rPr>
      <t xml:space="preserve"> Total Revenue:</t>
    </r>
    <r>
      <rPr>
        <b/>
        <sz val="10"/>
        <color theme="1"/>
        <rFont val="Calibri"/>
        <family val="2"/>
        <scheme val="minor"/>
      </rPr>
      <t xml:space="preserve"> </t>
    </r>
    <r>
      <rPr>
        <sz val="11"/>
        <color theme="1"/>
        <rFont val="Calibri"/>
        <family val="2"/>
        <scheme val="minor"/>
      </rPr>
      <t>Sum of quantity sold across all products.</t>
    </r>
  </si>
  <si>
    <r>
      <t xml:space="preserve">       ii) </t>
    </r>
    <r>
      <rPr>
        <b/>
        <sz val="11"/>
        <color rgb="FF002060"/>
        <rFont val="Calibri"/>
        <family val="2"/>
        <scheme val="minor"/>
      </rPr>
      <t xml:space="preserve">Total Products Sold: </t>
    </r>
    <r>
      <rPr>
        <sz val="11"/>
        <color theme="1"/>
        <rFont val="Calibri"/>
        <family val="2"/>
        <scheme val="minor"/>
      </rPr>
      <t>Sum of production volumes.</t>
    </r>
  </si>
  <si>
    <r>
      <t xml:space="preserve">      iii) </t>
    </r>
    <r>
      <rPr>
        <b/>
        <sz val="11"/>
        <color rgb="FF002060"/>
        <rFont val="Calibri"/>
        <family val="2"/>
        <scheme val="minor"/>
      </rPr>
      <t xml:space="preserve">Total Production Volume: </t>
    </r>
    <r>
      <rPr>
        <sz val="11"/>
        <color theme="1"/>
        <rFont val="Calibri"/>
        <family val="2"/>
        <scheme val="minor"/>
      </rPr>
      <t xml:space="preserve">Sum of production volumes. </t>
    </r>
  </si>
  <si>
    <r>
      <t xml:space="preserve">      iv) </t>
    </r>
    <r>
      <rPr>
        <b/>
        <sz val="11"/>
        <color rgb="FF002060"/>
        <rFont val="Calibri"/>
        <family val="2"/>
        <scheme val="minor"/>
      </rPr>
      <t xml:space="preserve">Average Total Lead Time: </t>
    </r>
    <r>
      <rPr>
        <sz val="11"/>
        <color theme="1"/>
        <rFont val="Calibri"/>
        <family val="2"/>
        <scheme val="minor"/>
      </rPr>
      <t>Average across all products and all stages.</t>
    </r>
  </si>
  <si>
    <r>
      <t xml:space="preserve">       v) </t>
    </r>
    <r>
      <rPr>
        <b/>
        <sz val="11"/>
        <color rgb="FF002060"/>
        <rFont val="Calibri"/>
        <family val="2"/>
        <scheme val="minor"/>
      </rPr>
      <t xml:space="preserve">Product with Maximum Total Lead Time: </t>
    </r>
    <r>
      <rPr>
        <sz val="11"/>
        <color theme="1"/>
        <rFont val="Calibri"/>
        <family val="2"/>
        <scheme val="minor"/>
      </rPr>
      <t>Identified using MAX on total lead times per product.</t>
    </r>
  </si>
  <si>
    <r>
      <t xml:space="preserve">      vi) </t>
    </r>
    <r>
      <rPr>
        <b/>
        <sz val="11"/>
        <color rgb="FF002060"/>
        <rFont val="Calibri"/>
        <family val="2"/>
        <scheme val="minor"/>
      </rPr>
      <t xml:space="preserve">Most Active Supplier: </t>
    </r>
    <r>
      <rPr>
        <sz val="11"/>
        <color theme="1"/>
        <rFont val="Calibri"/>
        <family val="2"/>
        <scheme val="minor"/>
      </rPr>
      <t>Supplier covering the maximum number of locations.</t>
    </r>
  </si>
  <si>
    <r>
      <t xml:space="preserve">3) </t>
    </r>
    <r>
      <rPr>
        <b/>
        <sz val="12"/>
        <color theme="1"/>
        <rFont val="Calibri"/>
        <family val="2"/>
        <scheme val="minor"/>
      </rPr>
      <t xml:space="preserve">Charts: </t>
    </r>
  </si>
  <si>
    <t xml:space="preserve">        i) Stage-wise lead time analysis to identify bottlenecks.</t>
  </si>
  <si>
    <t xml:space="preserve">       ii) Manufacturing lead time vs cost and defect rate.</t>
  </si>
  <si>
    <t xml:space="preserve">      iii) Product-wise sales volume and revenue.</t>
  </si>
  <si>
    <t xml:space="preserve">      iv) Shipping analysis by carrier, mode, and lead time.</t>
  </si>
  <si>
    <t xml:space="preserve">       v) Supplier performance and coverage by location.</t>
  </si>
  <si>
    <r>
      <t xml:space="preserve">1) </t>
    </r>
    <r>
      <rPr>
        <b/>
        <sz val="12"/>
        <color theme="1"/>
        <rFont val="Calibri"/>
        <family val="2"/>
        <scheme val="minor"/>
      </rPr>
      <t xml:space="preserve">Manufacturing Lead Times: </t>
    </r>
    <r>
      <rPr>
        <sz val="11"/>
        <color theme="1"/>
        <rFont val="Calibri"/>
        <family val="2"/>
        <scheme val="minor"/>
      </rPr>
      <t>Average manufacturing lead time is ~14.77 days; hair care has the highest total lead time (51.29 days).</t>
    </r>
  </si>
  <si>
    <r>
      <t xml:space="preserve">2) </t>
    </r>
    <r>
      <rPr>
        <b/>
        <sz val="12"/>
        <color theme="1"/>
        <rFont val="Calibri"/>
        <family val="2"/>
        <scheme val="minor"/>
      </rPr>
      <t xml:space="preserve">Shipping Analysis: </t>
    </r>
    <r>
      <rPr>
        <sz val="11"/>
        <color theme="1"/>
        <rFont val="Calibri"/>
        <family val="2"/>
        <scheme val="minor"/>
      </rPr>
      <t>Average shipping lead times vary by product; carrier performance impacts delivery efficiency.</t>
    </r>
  </si>
  <si>
    <r>
      <t xml:space="preserve">3) </t>
    </r>
    <r>
      <rPr>
        <b/>
        <sz val="12"/>
        <color theme="1"/>
        <rFont val="Calibri"/>
        <family val="2"/>
        <scheme val="minor"/>
      </rPr>
      <t xml:space="preserve">Supplier Performance: </t>
    </r>
    <r>
      <rPr>
        <sz val="11"/>
        <color theme="1"/>
        <rFont val="Calibri"/>
        <family val="2"/>
        <scheme val="minor"/>
      </rPr>
      <t>Supplier 1 covers the most locations (15), making it the most critical supplier.</t>
    </r>
  </si>
  <si>
    <r>
      <t xml:space="preserve">4) </t>
    </r>
    <r>
      <rPr>
        <b/>
        <sz val="12"/>
        <color theme="1"/>
        <rFont val="Calibri"/>
        <family val="2"/>
        <scheme val="minor"/>
      </rPr>
      <t>Inspection Results:</t>
    </r>
  </si>
  <si>
    <t xml:space="preserve">  </t>
  </si>
  <si>
    <t>Product Type</t>
  </si>
  <si>
    <t>Total Inspected</t>
  </si>
  <si>
    <t>Total</t>
  </si>
  <si>
    <t>Observations: Haircare and Skincare show high fail/pending counts,</t>
  </si>
  <si>
    <r>
      <rPr>
        <i/>
        <sz val="11"/>
        <color theme="1"/>
        <rFont val="Calibri"/>
        <family val="2"/>
        <scheme val="minor"/>
      </rPr>
      <t xml:space="preserve">suggesting </t>
    </r>
    <r>
      <rPr>
        <b/>
        <i/>
        <sz val="11"/>
        <color theme="1"/>
        <rFont val="Calibri"/>
        <family val="2"/>
        <scheme val="minor"/>
      </rPr>
      <t xml:space="preserve">quality control attention needed, </t>
    </r>
    <r>
      <rPr>
        <i/>
        <sz val="11"/>
        <color theme="1"/>
        <rFont val="Calibri"/>
        <family val="2"/>
        <scheme val="minor"/>
      </rPr>
      <t>especially for Skincare (fail +</t>
    </r>
  </si>
  <si>
    <t>pending = 28 units). Cosmetics has fewer passes (6), so also requires</t>
  </si>
  <si>
    <t>monitoring.</t>
  </si>
  <si>
    <r>
      <t xml:space="preserve">1) </t>
    </r>
    <r>
      <rPr>
        <b/>
        <sz val="12"/>
        <color theme="1"/>
        <rFont val="Calibri"/>
        <family val="2"/>
        <scheme val="minor"/>
      </rPr>
      <t xml:space="preserve">Operational Efficiency: </t>
    </r>
    <r>
      <rPr>
        <sz val="11"/>
        <color theme="1"/>
        <rFont val="Calibri"/>
        <family val="2"/>
        <scheme val="minor"/>
      </rPr>
      <t>Supplier and Shipping stages significantly affect total lead times; optimizing these stages can reduce delays.</t>
    </r>
  </si>
  <si>
    <r>
      <t xml:space="preserve">2) </t>
    </r>
    <r>
      <rPr>
        <b/>
        <sz val="12"/>
        <color theme="1"/>
        <rFont val="Calibri"/>
        <family val="2"/>
        <scheme val="minor"/>
      </rPr>
      <t xml:space="preserve">Product Prioritization: </t>
    </r>
    <r>
      <rPr>
        <sz val="11"/>
        <color theme="1"/>
        <rFont val="Calibri"/>
        <family val="2"/>
        <scheme val="minor"/>
      </rPr>
      <t>High-demand or high lead-time products (Skincare and Haircare) should be prioritized in production planning.</t>
    </r>
  </si>
  <si>
    <r>
      <t xml:space="preserve">3) </t>
    </r>
    <r>
      <rPr>
        <b/>
        <sz val="12"/>
        <color theme="1"/>
        <rFont val="Calibri"/>
        <family val="2"/>
        <scheme val="minor"/>
      </rPr>
      <t xml:space="preserve">Quality Management: </t>
    </r>
    <r>
      <rPr>
        <sz val="11"/>
        <color theme="1"/>
        <rFont val="Calibri"/>
        <family val="2"/>
        <scheme val="minor"/>
      </rPr>
      <t>Manufacturing inspection results highlight areas for quality improvement, particularly for Skincare products.</t>
    </r>
  </si>
  <si>
    <r>
      <t xml:space="preserve">4) </t>
    </r>
    <r>
      <rPr>
        <b/>
        <sz val="12"/>
        <color theme="1"/>
        <rFont val="Calibri"/>
        <family val="2"/>
        <scheme val="minor"/>
      </rPr>
      <t xml:space="preserve">Supplier Strategy: </t>
    </r>
    <r>
      <rPr>
        <sz val="11"/>
        <color theme="1"/>
        <rFont val="Calibri"/>
        <family val="2"/>
        <scheme val="minor"/>
      </rPr>
      <t>Supplier1 is critical due to maximum coverage; maintain reliability and monitor other suppliers for potential expansion.</t>
    </r>
  </si>
  <si>
    <r>
      <t xml:space="preserve">1) </t>
    </r>
    <r>
      <rPr>
        <b/>
        <sz val="12"/>
        <color theme="1"/>
        <rFont val="Calibri"/>
        <family val="2"/>
        <scheme val="minor"/>
      </rPr>
      <t xml:space="preserve">Reduce Bottlenecks: </t>
    </r>
    <r>
      <rPr>
        <sz val="11"/>
        <color theme="1"/>
        <rFont val="Calibri"/>
        <family val="2"/>
        <scheme val="minor"/>
      </rPr>
      <t>Focus on high lead-time products and stages causing delays (manufacturing, shipping, supplier).</t>
    </r>
  </si>
  <si>
    <r>
      <t xml:space="preserve">2) </t>
    </r>
    <r>
      <rPr>
        <b/>
        <sz val="12"/>
        <color theme="1"/>
        <rFont val="Calibri"/>
        <family val="2"/>
        <scheme val="minor"/>
      </rPr>
      <t xml:space="preserve">Targeted Production &amp; Quality Checks: </t>
    </r>
    <r>
      <rPr>
        <sz val="11"/>
        <color theme="1"/>
        <rFont val="Calibri"/>
        <family val="2"/>
        <scheme val="minor"/>
      </rPr>
      <t>Allocate resources to products with high fail/pending rates and long lead times.</t>
    </r>
  </si>
  <si>
    <r>
      <t xml:space="preserve">3) </t>
    </r>
    <r>
      <rPr>
        <b/>
        <sz val="12"/>
        <color theme="1"/>
        <rFont val="Calibri"/>
        <family val="2"/>
        <scheme val="minor"/>
      </rPr>
      <t xml:space="preserve">Supplier Management: </t>
    </r>
    <r>
      <rPr>
        <sz val="11"/>
        <color theme="1"/>
        <rFont val="Calibri"/>
        <family val="2"/>
        <scheme val="minor"/>
      </rPr>
      <t>Ensure Supplier 1 continues to perform reliably; explore expanding coverage of other suppliers.</t>
    </r>
  </si>
  <si>
    <r>
      <t xml:space="preserve">4) </t>
    </r>
    <r>
      <rPr>
        <b/>
        <sz val="12"/>
        <color theme="1"/>
        <rFont val="Calibri"/>
        <family val="2"/>
        <scheme val="minor"/>
      </rPr>
      <t xml:space="preserve">Continues Monitoring: </t>
    </r>
    <r>
      <rPr>
        <sz val="11"/>
        <color theme="1"/>
        <rFont val="Calibri"/>
        <family val="2"/>
        <scheme val="minor"/>
      </rPr>
      <t>Use this dashboard regularly to track KPIs, lead times, inspection results, and supplier performance for ongoing optimization.</t>
    </r>
  </si>
  <si>
    <t>"Monitoring supplier performance, production efficiency, sales outcomes, and inspection quality metrics."</t>
  </si>
  <si>
    <r>
      <t>Supplier 1 -</t>
    </r>
    <r>
      <rPr>
        <b/>
        <sz val="14"/>
        <color theme="1"/>
        <rFont val="Calibri"/>
        <family val="2"/>
        <scheme val="minor"/>
      </rPr>
      <t xml:space="preserve"> 15 Locations</t>
    </r>
  </si>
  <si>
    <t>Overall Business Summary</t>
  </si>
  <si>
    <t>Insights &amp; Methodology</t>
  </si>
  <si>
    <t>Project Objective</t>
  </si>
  <si>
    <t>Assumptions &amp; Data Considerations</t>
  </si>
  <si>
    <t>Key Observations</t>
  </si>
  <si>
    <t>Analytical Insights</t>
  </si>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</sst>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0.000"/>
    <numFmt numFmtId="166" formatCode="0.0"/>
    <numFmt numFmtId="167" formatCode="_(* #,##0_);_(* \(#,##0\);_(* &quot;-&quot;??_);_(@_)"/>
    <numFmt numFmtId="168" formatCode="0.0%"/>
    <numFmt numFmtId="169" formatCode="_(&quot;$&quot;* #,##0_);_(&quot;$&quot;* \(#,##0\);_(&quot;$&quot;* &quot;-&quot;??_);_(@_)"/>
    <numFmt numFmtId="170" formatCode="&quot;₹&quot;\ #,##0"/>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b/>
      <sz val="18"/>
      <color theme="1"/>
      <name val="Calibri"/>
      <family val="2"/>
      <scheme val="minor"/>
    </font>
    <font>
      <b/>
      <sz val="14"/>
      <color theme="1"/>
      <name val="Calibri"/>
      <family val="2"/>
      <scheme val="minor"/>
    </font>
    <font>
      <b/>
      <sz val="12"/>
      <color theme="1"/>
      <name val="Calibri"/>
      <family val="2"/>
      <scheme val="minor"/>
    </font>
    <font>
      <b/>
      <sz val="10"/>
      <color theme="1"/>
      <name val="Calibri"/>
      <family val="2"/>
      <scheme val="minor"/>
    </font>
    <font>
      <b/>
      <sz val="11"/>
      <color rgb="FF002060"/>
      <name val="Calibri"/>
      <family val="2"/>
      <scheme val="minor"/>
    </font>
    <font>
      <b/>
      <sz val="11"/>
      <color theme="2" tint="-0.749992370372631"/>
      <name val="Calibri"/>
      <family val="2"/>
      <scheme val="minor"/>
    </font>
    <font>
      <i/>
      <sz val="14"/>
      <color theme="2" tint="-0.89999084444715716"/>
      <name val="Calibri"/>
      <family val="2"/>
      <scheme val="minor"/>
    </font>
    <font>
      <b/>
      <sz val="16"/>
      <color theme="1"/>
      <name val="Calibri"/>
      <family val="2"/>
      <scheme val="minor"/>
    </font>
    <font>
      <b/>
      <u/>
      <sz val="12"/>
      <color theme="2" tint="-0.89999084444715716"/>
      <name val="Calibri"/>
      <family val="2"/>
      <scheme val="minor"/>
    </font>
    <font>
      <b/>
      <u/>
      <sz val="28"/>
      <color rgb="FF00206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0">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 fontId="0" fillId="0" borderId="0" xfId="0" applyNumberFormat="1"/>
    <xf numFmtId="1" fontId="0" fillId="0" borderId="0" xfId="0" applyNumberFormat="1" applyAlignment="1">
      <alignment horizontal="left"/>
    </xf>
    <xf numFmtId="3" fontId="0" fillId="0" borderId="0" xfId="0" applyNumberFormat="1" applyAlignment="1">
      <alignment horizontal="left"/>
    </xf>
    <xf numFmtId="10" fontId="0" fillId="0" borderId="0" xfId="0" applyNumberFormat="1"/>
    <xf numFmtId="167" fontId="0" fillId="0" borderId="0" xfId="0" applyNumberFormat="1"/>
    <xf numFmtId="168" fontId="0" fillId="0" borderId="0" xfId="0" applyNumberFormat="1"/>
    <xf numFmtId="164" fontId="0" fillId="0" borderId="0" xfId="0" applyNumberFormat="1"/>
    <xf numFmtId="169" fontId="0" fillId="0" borderId="0" xfId="0" applyNumberFormat="1"/>
    <xf numFmtId="0" fontId="0" fillId="33" borderId="11" xfId="0" applyFill="1" applyBorder="1"/>
    <xf numFmtId="0" fontId="0" fillId="0" borderId="11" xfId="0" applyBorder="1"/>
    <xf numFmtId="0" fontId="0" fillId="33" borderId="10" xfId="0" applyFill="1" applyBorder="1"/>
    <xf numFmtId="0" fontId="0" fillId="0" borderId="10" xfId="0" applyBorder="1"/>
    <xf numFmtId="0" fontId="16" fillId="33" borderId="12" xfId="0" applyFont="1" applyFill="1" applyBorder="1"/>
    <xf numFmtId="2" fontId="0" fillId="0" borderId="0" xfId="0" applyNumberFormat="1"/>
    <xf numFmtId="0" fontId="18" fillId="0" borderId="0" xfId="0" applyFont="1"/>
    <xf numFmtId="0" fontId="20" fillId="0" borderId="0" xfId="0" applyFont="1"/>
    <xf numFmtId="0" fontId="21" fillId="0" borderId="0" xfId="0" applyFont="1"/>
    <xf numFmtId="3" fontId="0" fillId="0" borderId="0" xfId="0" applyNumberFormat="1"/>
    <xf numFmtId="170" fontId="23" fillId="0" borderId="0" xfId="0" applyNumberFormat="1" applyFont="1"/>
    <xf numFmtId="0" fontId="0" fillId="0" borderId="0" xfId="0" applyAlignment="1">
      <alignment horizontal="center"/>
    </xf>
    <xf numFmtId="0" fontId="25" fillId="0" borderId="16" xfId="0" applyFont="1" applyBorder="1" applyAlignment="1">
      <alignment horizontal="center"/>
    </xf>
    <xf numFmtId="0" fontId="0" fillId="0" borderId="16" xfId="0" applyBorder="1" applyAlignment="1">
      <alignment horizontal="center"/>
    </xf>
    <xf numFmtId="0" fontId="26" fillId="0" borderId="0" xfId="0" applyFont="1" applyAlignment="1">
      <alignment horizontal="center"/>
    </xf>
    <xf numFmtId="0" fontId="28" fillId="0" borderId="0" xfId="0" applyFont="1" applyAlignment="1">
      <alignment horizontal="left"/>
    </xf>
    <xf numFmtId="0" fontId="27" fillId="0" borderId="0" xfId="0" applyFont="1"/>
    <xf numFmtId="0" fontId="26" fillId="0" borderId="0" xfId="0" applyFont="1" applyAlignment="1">
      <alignment horizontal="center"/>
    </xf>
    <xf numFmtId="0" fontId="29" fillId="0" borderId="0" xfId="0" applyFont="1" applyAlignment="1">
      <alignment horizontal="center"/>
    </xf>
    <xf numFmtId="0" fontId="0" fillId="0" borderId="15" xfId="0" applyBorder="1" applyAlignment="1">
      <alignment horizontal="center"/>
    </xf>
    <xf numFmtId="0" fontId="0" fillId="0" borderId="17" xfId="0" applyBorder="1" applyAlignment="1">
      <alignment horizontal="center"/>
    </xf>
    <xf numFmtId="0" fontId="25" fillId="0" borderId="15" xfId="0" applyFont="1" applyBorder="1" applyAlignment="1">
      <alignment horizontal="center"/>
    </xf>
    <xf numFmtId="0" fontId="25" fillId="0" borderId="17" xfId="0" applyFont="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16" fillId="0" borderId="15" xfId="0" applyFont="1" applyBorder="1" applyAlignment="1">
      <alignment horizontal="center"/>
    </xf>
    <xf numFmtId="0" fontId="16" fillId="0" borderId="17"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3">
    <dxf>
      <numFmt numFmtId="166" formatCode="0.0"/>
    </dxf>
    <dxf>
      <numFmt numFmtId="169" formatCode="_(&quot;$&quot;* #,##0_);_(&quot;$&quot;* \(#,##0\);_(&quot;$&quot;* &quot;-&quot;??_);_(@_)"/>
    </dxf>
    <dxf>
      <numFmt numFmtId="164" formatCode="_(&quot;$&quot;* #,##0.00_);_(&quot;$&quot;* \(#,##0.00\);_(&quot;$&quot;* &quot;-&quot;??_);_(@_)"/>
    </dxf>
    <dxf>
      <numFmt numFmtId="169" formatCode="_(&quot;$&quot;* #,##0_);_(&quot;$&quot;* \(#,##0\);_(&quot;$&quot;* &quot;-&quot;??_);_(@_)"/>
    </dxf>
    <dxf>
      <numFmt numFmtId="169" formatCode="_(&quot;$&quot;* #,##0_);_(&quot;$&quot;* \(#,##0\);_(&quot;$&quot;* &quot;-&quot;??_);_(@_)"/>
    </dxf>
    <dxf>
      <numFmt numFmtId="164" formatCode="_(&quot;$&quot;* #,##0.00_);_(&quot;$&quot;* \(#,##0.00\);_(&quot;$&quot;* &quot;-&quot;??_);_(@_)"/>
    </dxf>
    <dxf>
      <numFmt numFmtId="169" formatCode="_(&quot;$&quot;* #,##0_);_(&quot;$&quot;* \(#,##0\);_(&quot;$&quot;* &quot;-&quot;??_);_(@_)"/>
    </dxf>
    <dxf>
      <numFmt numFmtId="169" formatCode="_(&quot;$&quot;* #,##0_);_(&quot;$&quot;* \(#,##0\);_(&quot;$&quot;* &quot;-&quot;??_);_(@_)"/>
    </dxf>
    <dxf>
      <numFmt numFmtId="1" formatCode="0"/>
    </dxf>
    <dxf>
      <numFmt numFmtId="166" formatCode="0.0"/>
    </dxf>
    <dxf>
      <numFmt numFmtId="169" formatCode="_(&quot;$&quot;* #,##0_);_(&quot;$&quot;* \(#,##0\);_(&quot;$&quot;* &quot;-&quot;??_);_(@_)"/>
    </dxf>
    <dxf>
      <numFmt numFmtId="169" formatCode="_(&quot;$&quot;* #,##0_);_(&quot;$&quot;* \(#,##0\);_(&quot;$&quot;* &quot;-&quot;??_);_(@_)"/>
    </dxf>
    <dxf>
      <numFmt numFmtId="1" formatCode="0"/>
    </dxf>
    <dxf>
      <numFmt numFmtId="1" formatCode="0"/>
    </dxf>
    <dxf>
      <numFmt numFmtId="1" formatCode="0"/>
    </dxf>
    <dxf>
      <numFmt numFmtId="166" formatCode="0.0"/>
    </dxf>
    <dxf>
      <numFmt numFmtId="1" formatCode="0"/>
    </dxf>
    <dxf>
      <numFmt numFmtId="1" formatCode="0"/>
    </dxf>
    <dxf>
      <numFmt numFmtId="1" formatCode="0"/>
    </dxf>
    <dxf>
      <numFmt numFmtId="1" formatCode="0"/>
    </dxf>
    <dxf>
      <numFmt numFmtId="1" formatCode="0"/>
    </dxf>
    <dxf>
      <numFmt numFmtId="165" formatCode="0.000"/>
    </dxf>
    <dxf>
      <numFmt numFmtId="1" formatCode="0"/>
    </dxf>
    <dxf>
      <numFmt numFmtId="1" formatCode="0"/>
    </dxf>
    <dxf>
      <numFmt numFmtId="168" formatCode="0.0%"/>
    </dxf>
    <dxf>
      <numFmt numFmtId="14" formatCode="0.00%"/>
    </dxf>
    <dxf>
      <numFmt numFmtId="166" formatCode="0.0"/>
    </dxf>
    <dxf>
      <numFmt numFmtId="1" formatCode="0"/>
    </dxf>
    <dxf>
      <numFmt numFmtId="1" formatCode="0"/>
    </dxf>
    <dxf>
      <numFmt numFmtId="1" formatCode="0"/>
    </dxf>
    <dxf>
      <numFmt numFmtId="1" formatCode="0"/>
    </dxf>
    <dxf>
      <numFmt numFmtId="1" formatCode="0"/>
    </dxf>
    <dxf>
      <numFmt numFmtId="167" formatCode="_(* #,##0_);_(* \(#,##0\);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0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 formatCode="0"/>
    </dxf>
    <dxf>
      <numFmt numFmtId="1" formatCode="0"/>
    </dxf>
    <dxf>
      <numFmt numFmtId="0" formatCode="General"/>
    </dxf>
    <dxf>
      <numFmt numFmtId="1" formatCode="0"/>
    </dxf>
    <dxf>
      <numFmt numFmtId="166" formatCode="0.0"/>
    </dxf>
    <dxf>
      <numFmt numFmtId="1" formatCode="0"/>
    </dxf>
    <dxf>
      <numFmt numFmtId="1" formatCode="0"/>
    </dxf>
    <dxf>
      <numFmt numFmtId="1" formatCode="0"/>
    </dxf>
    <dxf>
      <numFmt numFmtId="1" formatCode="0"/>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5.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Product</a:t>
            </a:r>
            <a:r>
              <a:rPr lang="en-IN" sz="1400" b="1" baseline="0"/>
              <a:t>-wise Sales Volume and Revenue</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70C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5875" cap="rnd">
            <a:solidFill>
              <a:schemeClr val="tx1">
                <a:lumMod val="95000"/>
                <a:lumOff val="5000"/>
              </a:schemeClr>
            </a:solidFill>
            <a:round/>
          </a:ln>
          <a:effectLst/>
        </c:spPr>
        <c:marker>
          <c:symbol val="none"/>
        </c:marker>
        <c:dLbl>
          <c:idx val="0"/>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5400" cap="rnd">
            <a:solidFill>
              <a:schemeClr val="tx1">
                <a:lumMod val="95000"/>
                <a:lumOff val="5000"/>
              </a:schemeClr>
            </a:solidFill>
            <a:round/>
          </a:ln>
          <a:effectLst/>
        </c:spPr>
        <c:marker>
          <c:symbol val="none"/>
        </c:marker>
      </c:pivotFmt>
      <c:pivotFmt>
        <c:idx val="102"/>
        <c:spPr>
          <a:solidFill>
            <a:schemeClr val="accent1"/>
          </a:solidFill>
          <a:ln w="25400" cap="rnd">
            <a:solidFill>
              <a:schemeClr val="tx1">
                <a:lumMod val="95000"/>
                <a:lumOff val="5000"/>
              </a:schemeClr>
            </a:solidFill>
            <a:round/>
          </a:ln>
          <a:effectLst/>
        </c:spPr>
        <c:marker>
          <c:symbol val="none"/>
        </c:marker>
      </c:pivotFmt>
      <c:pivotFmt>
        <c:idx val="103"/>
        <c:spPr>
          <a:solidFill>
            <a:srgbClr val="0070C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5875" cap="rnd">
            <a:solidFill>
              <a:schemeClr val="tx1">
                <a:lumMod val="95000"/>
                <a:lumOff val="5000"/>
              </a:schemeClr>
            </a:solidFill>
            <a:round/>
          </a:ln>
          <a:effectLst/>
        </c:spPr>
        <c:marker>
          <c:symbol val="none"/>
        </c:marker>
        <c:dLbl>
          <c:idx val="0"/>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5400" cap="rnd">
            <a:solidFill>
              <a:schemeClr val="tx1">
                <a:lumMod val="95000"/>
                <a:lumOff val="5000"/>
              </a:schemeClr>
            </a:solidFill>
            <a:round/>
          </a:ln>
          <a:effectLst/>
        </c:spPr>
        <c:marker>
          <c:symbol val="none"/>
        </c:marker>
      </c:pivotFmt>
      <c:pivotFmt>
        <c:idx val="106"/>
        <c:spPr>
          <a:solidFill>
            <a:schemeClr val="accent1"/>
          </a:solidFill>
          <a:ln w="25400" cap="rnd">
            <a:solidFill>
              <a:schemeClr val="tx1">
                <a:lumMod val="95000"/>
                <a:lumOff val="5000"/>
              </a:schemeClr>
            </a:solidFill>
            <a:round/>
          </a:ln>
          <a:effectLst/>
        </c:spPr>
        <c:marker>
          <c:symbol val="none"/>
        </c:marker>
      </c:pivotFmt>
      <c:pivotFmt>
        <c:idx val="107"/>
        <c:spPr>
          <a:solidFill>
            <a:srgbClr val="0070C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5875" cap="rnd">
            <a:solidFill>
              <a:schemeClr val="tx1">
                <a:lumMod val="95000"/>
                <a:lumOff val="5000"/>
              </a:schemeClr>
            </a:solidFill>
            <a:round/>
          </a:ln>
          <a:effectLst/>
        </c:spPr>
        <c:marker>
          <c:symbol val="none"/>
        </c:marker>
        <c:dLbl>
          <c:idx val="0"/>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5400" cap="rnd">
            <a:solidFill>
              <a:schemeClr val="tx1">
                <a:lumMod val="95000"/>
                <a:lumOff val="5000"/>
              </a:schemeClr>
            </a:solidFill>
            <a:round/>
          </a:ln>
          <a:effectLst/>
        </c:spPr>
        <c:marker>
          <c:symbol val="none"/>
        </c:marker>
      </c:pivotFmt>
      <c:pivotFmt>
        <c:idx val="110"/>
        <c:spPr>
          <a:solidFill>
            <a:schemeClr val="accent1"/>
          </a:solidFill>
          <a:ln w="25400" cap="rnd">
            <a:solidFill>
              <a:schemeClr val="tx1">
                <a:lumMod val="95000"/>
                <a:lumOff val="5000"/>
              </a:schemeClr>
            </a:solidFill>
            <a:round/>
          </a:ln>
          <a:effectLst/>
        </c:spPr>
        <c:marker>
          <c:symbol val="none"/>
        </c:marker>
      </c:pivotFmt>
      <c:pivotFmt>
        <c:idx val="111"/>
        <c:spPr>
          <a:solidFill>
            <a:srgbClr val="0070C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5875" cap="rnd">
            <a:solidFill>
              <a:schemeClr val="tx1">
                <a:lumMod val="95000"/>
                <a:lumOff val="5000"/>
              </a:schemeClr>
            </a:solidFill>
            <a:round/>
          </a:ln>
          <a:effectLst/>
        </c:spPr>
        <c:marker>
          <c:symbol val="none"/>
        </c:marker>
        <c:dLbl>
          <c:idx val="0"/>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5400" cap="rnd">
            <a:solidFill>
              <a:schemeClr val="tx1">
                <a:lumMod val="95000"/>
                <a:lumOff val="5000"/>
              </a:schemeClr>
            </a:solidFill>
            <a:round/>
          </a:ln>
          <a:effectLst/>
        </c:spPr>
        <c:marker>
          <c:symbol val="none"/>
        </c:marker>
      </c:pivotFmt>
      <c:pivotFmt>
        <c:idx val="114"/>
        <c:spPr>
          <a:solidFill>
            <a:schemeClr val="accent1"/>
          </a:solidFill>
          <a:ln w="25400" cap="rnd">
            <a:solidFill>
              <a:schemeClr val="tx1">
                <a:lumMod val="95000"/>
                <a:lumOff val="5000"/>
              </a:schemeClr>
            </a:solidFill>
            <a:round/>
          </a:ln>
          <a:effectLst/>
        </c:spPr>
        <c:marker>
          <c:symbol val="none"/>
        </c:marker>
      </c:pivotFmt>
      <c:pivotFmt>
        <c:idx val="115"/>
        <c:spPr>
          <a:solidFill>
            <a:srgbClr val="0070C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5875" cap="rnd">
            <a:solidFill>
              <a:schemeClr val="tx1">
                <a:lumMod val="95000"/>
                <a:lumOff val="5000"/>
              </a:schemeClr>
            </a:solidFill>
            <a:round/>
          </a:ln>
          <a:effectLst/>
        </c:spPr>
        <c:marker>
          <c:symbol val="none"/>
        </c:marker>
        <c:dLbl>
          <c:idx val="0"/>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5400" cap="rnd">
            <a:solidFill>
              <a:schemeClr val="tx1">
                <a:lumMod val="95000"/>
                <a:lumOff val="5000"/>
              </a:schemeClr>
            </a:solidFill>
            <a:round/>
          </a:ln>
          <a:effectLst/>
        </c:spPr>
        <c:marker>
          <c:symbol val="none"/>
        </c:marker>
      </c:pivotFmt>
      <c:pivotFmt>
        <c:idx val="118"/>
        <c:spPr>
          <a:solidFill>
            <a:schemeClr val="accent1"/>
          </a:solidFill>
          <a:ln w="25400" cap="rnd">
            <a:solidFill>
              <a:schemeClr val="tx1">
                <a:lumMod val="95000"/>
                <a:lumOff val="5000"/>
              </a:schemeClr>
            </a:solidFill>
            <a:round/>
          </a:ln>
          <a:effectLst/>
        </c:spPr>
        <c:marker>
          <c:symbol val="none"/>
        </c:marker>
      </c:pivotFmt>
      <c:pivotFmt>
        <c:idx val="119"/>
        <c:spPr>
          <a:solidFill>
            <a:srgbClr val="0070C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0"/>
        <c:spPr>
          <a:ln w="15875" cap="rnd">
            <a:solidFill>
              <a:schemeClr val="tx1">
                <a:lumMod val="95000"/>
                <a:lumOff val="5000"/>
              </a:schemeClr>
            </a:solidFill>
            <a:round/>
          </a:ln>
          <a:effectLst/>
        </c:spPr>
        <c:marker>
          <c:symbol val="none"/>
        </c:marker>
        <c:dLbl>
          <c:idx val="0"/>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1"/>
        <c:spPr>
          <a:ln w="25400" cap="rnd">
            <a:solidFill>
              <a:schemeClr val="tx1">
                <a:lumMod val="95000"/>
                <a:lumOff val="5000"/>
              </a:schemeClr>
            </a:solidFill>
            <a:round/>
          </a:ln>
          <a:effectLst/>
        </c:spPr>
        <c:marker>
          <c:symbol val="none"/>
        </c:marker>
      </c:pivotFmt>
      <c:pivotFmt>
        <c:idx val="122"/>
        <c:spPr>
          <a:ln w="25400" cap="rnd">
            <a:solidFill>
              <a:schemeClr val="tx1">
                <a:lumMod val="95000"/>
                <a:lumOff val="5000"/>
              </a:schemeClr>
            </a:solidFill>
            <a:round/>
          </a:ln>
          <a:effectLst/>
        </c:spPr>
        <c:marker>
          <c:symbol val="none"/>
        </c:marker>
      </c:pivotFmt>
    </c:pivotFmts>
    <c:plotArea>
      <c:layout>
        <c:manualLayout>
          <c:layoutTarget val="inner"/>
          <c:xMode val="edge"/>
          <c:yMode val="edge"/>
          <c:x val="0.17208197705079012"/>
          <c:y val="0.20508293346182024"/>
          <c:w val="0.70916792444824306"/>
          <c:h val="0.63700313502478856"/>
        </c:manualLayout>
      </c:layout>
      <c:barChart>
        <c:barDir val="col"/>
        <c:grouping val="clustered"/>
        <c:varyColors val="0"/>
        <c:ser>
          <c:idx val="0"/>
          <c:order val="0"/>
          <c:tx>
            <c:strRef>
              <c:f>Pivot!$B$13</c:f>
              <c:strCache>
                <c:ptCount val="1"/>
                <c:pt idx="0">
                  <c:v>Quantity sold</c:v>
                </c:pt>
              </c:strCache>
            </c:strRef>
          </c:tx>
          <c:spPr>
            <a:solidFill>
              <a:srgbClr val="0070C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Pivot!$A$14:$A$17</c:f>
              <c:strCache>
                <c:ptCount val="3"/>
                <c:pt idx="0">
                  <c:v>Cosmetics</c:v>
                </c:pt>
                <c:pt idx="1">
                  <c:v>Haircare</c:v>
                </c:pt>
                <c:pt idx="2">
                  <c:v>Skincare</c:v>
                </c:pt>
              </c:strCache>
            </c:strRef>
          </c:cat>
          <c:val>
            <c:numRef>
              <c:f>Pivot!$B$14:$B$17</c:f>
              <c:numCache>
                <c:formatCode>General</c:formatCode>
                <c:ptCount val="3"/>
                <c:pt idx="0">
                  <c:v>11757</c:v>
                </c:pt>
                <c:pt idx="1">
                  <c:v>13611</c:v>
                </c:pt>
                <c:pt idx="2">
                  <c:v>20731</c:v>
                </c:pt>
              </c:numCache>
            </c:numRef>
          </c:val>
          <c:extLst>
            <c:ext xmlns:c16="http://schemas.microsoft.com/office/drawing/2014/chart" uri="{C3380CC4-5D6E-409C-BE32-E72D297353CC}">
              <c16:uniqueId val="{00000000-1D58-4179-99A7-2A912910DD7B}"/>
            </c:ext>
          </c:extLst>
        </c:ser>
        <c:dLbls>
          <c:showLegendKey val="0"/>
          <c:showVal val="1"/>
          <c:showCatName val="0"/>
          <c:showSerName val="0"/>
          <c:showPercent val="0"/>
          <c:showBubbleSize val="0"/>
        </c:dLbls>
        <c:gapWidth val="150"/>
        <c:axId val="1206504880"/>
        <c:axId val="1206505360"/>
      </c:barChart>
      <c:lineChart>
        <c:grouping val="standard"/>
        <c:varyColors val="0"/>
        <c:ser>
          <c:idx val="1"/>
          <c:order val="1"/>
          <c:tx>
            <c:strRef>
              <c:f>Pivot!$C$13</c:f>
              <c:strCache>
                <c:ptCount val="1"/>
                <c:pt idx="0">
                  <c:v>Revenue</c:v>
                </c:pt>
              </c:strCache>
            </c:strRef>
          </c:tx>
          <c:spPr>
            <a:ln w="15875" cap="rnd">
              <a:solidFill>
                <a:schemeClr val="tx1">
                  <a:lumMod val="95000"/>
                  <a:lumOff val="5000"/>
                </a:schemeClr>
              </a:solidFill>
              <a:round/>
            </a:ln>
            <a:effectLst/>
          </c:spPr>
          <c:marker>
            <c:symbol val="none"/>
          </c:marker>
          <c:dPt>
            <c:idx val="1"/>
            <c:marker>
              <c:symbol val="none"/>
            </c:marker>
            <c:bubble3D val="0"/>
            <c:spPr>
              <a:ln w="25400" cap="rnd">
                <a:solidFill>
                  <a:schemeClr val="tx1">
                    <a:lumMod val="95000"/>
                    <a:lumOff val="5000"/>
                  </a:schemeClr>
                </a:solidFill>
                <a:round/>
              </a:ln>
              <a:effectLst/>
            </c:spPr>
            <c:extLst>
              <c:ext xmlns:c16="http://schemas.microsoft.com/office/drawing/2014/chart" uri="{C3380CC4-5D6E-409C-BE32-E72D297353CC}">
                <c16:uniqueId val="{00000002-1D58-4179-99A7-2A912910DD7B}"/>
              </c:ext>
            </c:extLst>
          </c:dPt>
          <c:dPt>
            <c:idx val="2"/>
            <c:marker>
              <c:symbol val="none"/>
            </c:marker>
            <c:bubble3D val="0"/>
            <c:spPr>
              <a:ln w="25400" cap="rnd">
                <a:solidFill>
                  <a:schemeClr val="tx1">
                    <a:lumMod val="95000"/>
                    <a:lumOff val="5000"/>
                  </a:schemeClr>
                </a:solidFill>
                <a:round/>
              </a:ln>
              <a:effectLst/>
            </c:spPr>
            <c:extLst>
              <c:ext xmlns:c16="http://schemas.microsoft.com/office/drawing/2014/chart" uri="{C3380CC4-5D6E-409C-BE32-E72D297353CC}">
                <c16:uniqueId val="{00000004-1D58-4179-99A7-2A912910DD7B}"/>
              </c:ext>
            </c:extLst>
          </c:dPt>
          <c:dLbls>
            <c:spPr>
              <a:solidFill>
                <a:schemeClr val="bg1">
                  <a:alpha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Pivot!$A$14:$A$17</c:f>
              <c:strCache>
                <c:ptCount val="3"/>
                <c:pt idx="0">
                  <c:v>Cosmetics</c:v>
                </c:pt>
                <c:pt idx="1">
                  <c:v>Haircare</c:v>
                </c:pt>
                <c:pt idx="2">
                  <c:v>Skincare</c:v>
                </c:pt>
              </c:strCache>
            </c:strRef>
          </c:cat>
          <c:val>
            <c:numRef>
              <c:f>Pivot!$C$14:$C$17</c:f>
              <c:numCache>
                <c:formatCode>0</c:formatCode>
                <c:ptCount val="3"/>
                <c:pt idx="0">
                  <c:v>161521.26599948306</c:v>
                </c:pt>
                <c:pt idx="1">
                  <c:v>174455.39060546222</c:v>
                </c:pt>
                <c:pt idx="2">
                  <c:v>241628.16213306302</c:v>
                </c:pt>
              </c:numCache>
            </c:numRef>
          </c:val>
          <c:smooth val="0"/>
          <c:extLst>
            <c:ext xmlns:c16="http://schemas.microsoft.com/office/drawing/2014/chart" uri="{C3380CC4-5D6E-409C-BE32-E72D297353CC}">
              <c16:uniqueId val="{00000005-1D58-4179-99A7-2A912910DD7B}"/>
            </c:ext>
          </c:extLst>
        </c:ser>
        <c:dLbls>
          <c:showLegendKey val="0"/>
          <c:showVal val="1"/>
          <c:showCatName val="0"/>
          <c:showSerName val="0"/>
          <c:showPercent val="0"/>
          <c:showBubbleSize val="0"/>
        </c:dLbls>
        <c:marker val="1"/>
        <c:smooth val="0"/>
        <c:axId val="1207494640"/>
        <c:axId val="1207474480"/>
      </c:lineChart>
      <c:catAx>
        <c:axId val="120650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05360"/>
        <c:crosses val="autoZero"/>
        <c:auto val="1"/>
        <c:lblAlgn val="ctr"/>
        <c:lblOffset val="100"/>
        <c:noMultiLvlLbl val="0"/>
      </c:catAx>
      <c:valAx>
        <c:axId val="1206505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 Sold</a:t>
                </a:r>
              </a:p>
            </c:rich>
          </c:tx>
          <c:layout>
            <c:manualLayout>
              <c:xMode val="edge"/>
              <c:yMode val="edge"/>
              <c:x val="2.2455181268021974E-2"/>
              <c:y val="0.353383498327938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04880"/>
        <c:crosses val="autoZero"/>
        <c:crossBetween val="between"/>
      </c:valAx>
      <c:valAx>
        <c:axId val="12074744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0.94940683398331216"/>
              <c:y val="0.5719251239428405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494640"/>
        <c:crosses val="max"/>
        <c:crossBetween val="between"/>
        <c:dispUnits>
          <c:builtInUnit val="thousands"/>
          <c:dispUnitsLbl>
            <c:layout>
              <c:manualLayout>
                <c:xMode val="edge"/>
                <c:yMode val="edge"/>
                <c:x val="0.94940688626939385"/>
                <c:y val="0.23078677882870099"/>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a:t>
                  </a:r>
                  <a:r>
                    <a:rPr lang="en-US"/>
                    <a:t>Thousands)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207494640"/>
        <c:scaling>
          <c:orientation val="minMax"/>
        </c:scaling>
        <c:delete val="1"/>
        <c:axPos val="b"/>
        <c:numFmt formatCode="General" sourceLinked="1"/>
        <c:majorTickMark val="out"/>
        <c:minorTickMark val="none"/>
        <c:tickLblPos val="nextTo"/>
        <c:crossAx val="12074744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report.xlsx]Pivot!PivotTable7</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baseline="0"/>
              <a:t>Manufacturing Lead Time Impact on Cost &amp; Defect Rate</a:t>
            </a:r>
            <a:endParaRPr lang="en-IN" sz="1400" b="1"/>
          </a:p>
        </c:rich>
      </c:tx>
      <c:layout>
        <c:manualLayout>
          <c:xMode val="edge"/>
          <c:yMode val="edge"/>
          <c:x val="0.1427660945075348"/>
          <c:y val="3.6993451867732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58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50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58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50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58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2">
              <a:lumMod val="50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58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2">
              <a:lumMod val="50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58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bg2">
              <a:lumMod val="50000"/>
              <a:alpha val="9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158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3504892548372"/>
          <c:y val="0.25358185942099903"/>
          <c:w val="0.69872211338386658"/>
          <c:h val="0.58124236111111116"/>
        </c:manualLayout>
      </c:layout>
      <c:barChart>
        <c:barDir val="col"/>
        <c:grouping val="clustered"/>
        <c:varyColors val="0"/>
        <c:ser>
          <c:idx val="0"/>
          <c:order val="0"/>
          <c:tx>
            <c:strRef>
              <c:f>Pivot!$H$3</c:f>
              <c:strCache>
                <c:ptCount val="1"/>
                <c:pt idx="0">
                  <c:v>Manufacturing costs(₹)</c:v>
                </c:pt>
              </c:strCache>
            </c:strRef>
          </c:tx>
          <c:spPr>
            <a:solidFill>
              <a:schemeClr val="bg2">
                <a:lumMod val="50000"/>
                <a:alpha val="98000"/>
              </a:schemeClr>
            </a:solidFill>
            <a:ln>
              <a:noFill/>
            </a:ln>
            <a:effectLst/>
          </c:spPr>
          <c:invertIfNegative val="0"/>
          <c:cat>
            <c:strRef>
              <c:f>Pivot!$G$4:$G$10</c:f>
              <c:strCache>
                <c:ptCount val="6"/>
                <c:pt idx="0">
                  <c:v>1-5</c:v>
                </c:pt>
                <c:pt idx="1">
                  <c:v>6-10</c:v>
                </c:pt>
                <c:pt idx="2">
                  <c:v>11-15</c:v>
                </c:pt>
                <c:pt idx="3">
                  <c:v>16-20</c:v>
                </c:pt>
                <c:pt idx="4">
                  <c:v>21-25</c:v>
                </c:pt>
                <c:pt idx="5">
                  <c:v>26-30</c:v>
                </c:pt>
              </c:strCache>
            </c:strRef>
          </c:cat>
          <c:val>
            <c:numRef>
              <c:f>Pivot!$H$4:$H$10</c:f>
              <c:numCache>
                <c:formatCode>0</c:formatCode>
                <c:ptCount val="6"/>
                <c:pt idx="0">
                  <c:v>88.43328712801528</c:v>
                </c:pt>
                <c:pt idx="1">
                  <c:v>54.98793674845038</c:v>
                </c:pt>
                <c:pt idx="2">
                  <c:v>24.569947193717322</c:v>
                </c:pt>
                <c:pt idx="3">
                  <c:v>56.865908020073903</c:v>
                </c:pt>
                <c:pt idx="4">
                  <c:v>42.991858652114963</c:v>
                </c:pt>
                <c:pt idx="5">
                  <c:v>20.433923569682598</c:v>
                </c:pt>
              </c:numCache>
            </c:numRef>
          </c:val>
          <c:extLst>
            <c:ext xmlns:c16="http://schemas.microsoft.com/office/drawing/2014/chart" uri="{C3380CC4-5D6E-409C-BE32-E72D297353CC}">
              <c16:uniqueId val="{00000000-A951-483F-8F4B-66D2CB9F5ED5}"/>
            </c:ext>
          </c:extLst>
        </c:ser>
        <c:dLbls>
          <c:showLegendKey val="0"/>
          <c:showVal val="0"/>
          <c:showCatName val="0"/>
          <c:showSerName val="0"/>
          <c:showPercent val="0"/>
          <c:showBubbleSize val="0"/>
        </c:dLbls>
        <c:gapWidth val="150"/>
        <c:overlap val="-27"/>
        <c:axId val="1151306672"/>
        <c:axId val="1151305712"/>
      </c:barChart>
      <c:lineChart>
        <c:grouping val="standard"/>
        <c:varyColors val="0"/>
        <c:ser>
          <c:idx val="1"/>
          <c:order val="1"/>
          <c:tx>
            <c:strRef>
              <c:f>Pivot!$I$3</c:f>
              <c:strCache>
                <c:ptCount val="1"/>
                <c:pt idx="0">
                  <c:v>Defect rates (%)</c:v>
                </c:pt>
              </c:strCache>
            </c:strRef>
          </c:tx>
          <c:spPr>
            <a:ln w="15875" cap="rnd">
              <a:solidFill>
                <a:srgbClr val="FF0000"/>
              </a:solidFill>
              <a:round/>
            </a:ln>
            <a:effectLst/>
          </c:spPr>
          <c:marker>
            <c:symbol val="none"/>
          </c:marker>
          <c:cat>
            <c:strRef>
              <c:f>Pivot!$G$4:$G$10</c:f>
              <c:strCache>
                <c:ptCount val="6"/>
                <c:pt idx="0">
                  <c:v>1-5</c:v>
                </c:pt>
                <c:pt idx="1">
                  <c:v>6-10</c:v>
                </c:pt>
                <c:pt idx="2">
                  <c:v>11-15</c:v>
                </c:pt>
                <c:pt idx="3">
                  <c:v>16-20</c:v>
                </c:pt>
                <c:pt idx="4">
                  <c:v>21-25</c:v>
                </c:pt>
                <c:pt idx="5">
                  <c:v>26-30</c:v>
                </c:pt>
              </c:strCache>
            </c:strRef>
          </c:cat>
          <c:val>
            <c:numRef>
              <c:f>Pivot!$I$4:$I$10</c:f>
              <c:numCache>
                <c:formatCode>0.0</c:formatCode>
                <c:ptCount val="6"/>
                <c:pt idx="0">
                  <c:v>2.9839562700702071</c:v>
                </c:pt>
                <c:pt idx="1">
                  <c:v>2.0771775808396278</c:v>
                </c:pt>
                <c:pt idx="2">
                  <c:v>0.9788330581533522</c:v>
                </c:pt>
                <c:pt idx="3">
                  <c:v>2.6735111598105994</c:v>
                </c:pt>
                <c:pt idx="4">
                  <c:v>2.7244549517642258</c:v>
                </c:pt>
                <c:pt idx="5">
                  <c:v>3.1472470955765157</c:v>
                </c:pt>
              </c:numCache>
            </c:numRef>
          </c:val>
          <c:smooth val="0"/>
          <c:extLst>
            <c:ext xmlns:c16="http://schemas.microsoft.com/office/drawing/2014/chart" uri="{C3380CC4-5D6E-409C-BE32-E72D297353CC}">
              <c16:uniqueId val="{00000001-A951-483F-8F4B-66D2CB9F5ED5}"/>
            </c:ext>
          </c:extLst>
        </c:ser>
        <c:dLbls>
          <c:showLegendKey val="0"/>
          <c:showVal val="0"/>
          <c:showCatName val="0"/>
          <c:showSerName val="0"/>
          <c:showPercent val="0"/>
          <c:showBubbleSize val="0"/>
        </c:dLbls>
        <c:marker val="1"/>
        <c:smooth val="0"/>
        <c:axId val="1151292272"/>
        <c:axId val="1151307632"/>
      </c:lineChart>
      <c:catAx>
        <c:axId val="115130667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Manufacturing</a:t>
                </a:r>
                <a:r>
                  <a:rPr lang="en-IN" sz="1100" baseline="0"/>
                  <a:t> Lead Time Range</a:t>
                </a:r>
                <a:endParaRPr lang="en-IN"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305712"/>
        <c:crosses val="autoZero"/>
        <c:auto val="1"/>
        <c:lblAlgn val="ctr"/>
        <c:lblOffset val="100"/>
        <c:noMultiLvlLbl val="0"/>
      </c:catAx>
      <c:valAx>
        <c:axId val="1151305712"/>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Avg</a:t>
                </a:r>
                <a:r>
                  <a:rPr lang="en-IN" sz="1100" baseline="0"/>
                  <a:t> Manufacturing Cost</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306672"/>
        <c:crosses val="autoZero"/>
        <c:crossBetween val="between"/>
      </c:valAx>
      <c:valAx>
        <c:axId val="1151307632"/>
        <c:scaling>
          <c:orientation val="minMax"/>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Avg</a:t>
                </a:r>
                <a:r>
                  <a:rPr lang="en-IN" sz="1100" baseline="0"/>
                  <a:t> Defect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292272"/>
        <c:crosses val="max"/>
        <c:crossBetween val="between"/>
      </c:valAx>
      <c:catAx>
        <c:axId val="1151292272"/>
        <c:scaling>
          <c:orientation val="minMax"/>
        </c:scaling>
        <c:delete val="1"/>
        <c:axPos val="b"/>
        <c:numFmt formatCode="General" sourceLinked="1"/>
        <c:majorTickMark val="out"/>
        <c:minorTickMark val="none"/>
        <c:tickLblPos val="nextTo"/>
        <c:crossAx val="11513076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report.xlsx]Pivot!PivotTable21</c:name>
    <c:fmtId val="11"/>
  </c:pivotSource>
  <c:chart>
    <c:title>
      <c:tx>
        <c:rich>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Calibri "/>
                <a:ea typeface="+mj-ea"/>
                <a:cs typeface="+mj-cs"/>
              </a:defRPr>
            </a:pPr>
            <a:r>
              <a:rPr lang="en-IN" sz="1400" b="1">
                <a:latin typeface="Calibri "/>
              </a:rPr>
              <a:t>Shipping Cost</a:t>
            </a:r>
            <a:r>
              <a:rPr lang="en-IN" sz="1400" b="1" baseline="0">
                <a:latin typeface="Calibri "/>
              </a:rPr>
              <a:t> &amp; Order Volume by Product</a:t>
            </a:r>
            <a:endParaRPr lang="en-IN" sz="1400" b="1">
              <a:latin typeface="Calibri "/>
            </a:endParaRP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Calibri "/>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84911620560714E-2"/>
          <c:y val="0.1851618567977697"/>
          <c:w val="0.56713693397021014"/>
          <c:h val="0.65845154007070139"/>
        </c:manualLayout>
      </c:layout>
      <c:barChart>
        <c:barDir val="col"/>
        <c:grouping val="clustered"/>
        <c:varyColors val="0"/>
        <c:ser>
          <c:idx val="0"/>
          <c:order val="0"/>
          <c:tx>
            <c:strRef>
              <c:f>Pivot!$B$20:$B$22</c:f>
              <c:strCache>
                <c:ptCount val="1"/>
                <c:pt idx="0">
                  <c:v>Carrier A - Sum of Order quantities</c:v>
                </c:pt>
              </c:strCache>
            </c:strRef>
          </c:tx>
          <c:spPr>
            <a:solidFill>
              <a:schemeClr val="accent1"/>
            </a:solidFill>
            <a:ln>
              <a:noFill/>
            </a:ln>
            <a:effectLst/>
          </c:spPr>
          <c:invertIfNegative val="0"/>
          <c:cat>
            <c:strRef>
              <c:f>Pivot!$A$23:$A$26</c:f>
              <c:strCache>
                <c:ptCount val="3"/>
                <c:pt idx="0">
                  <c:v>Cosmetics</c:v>
                </c:pt>
                <c:pt idx="1">
                  <c:v>Haircare</c:v>
                </c:pt>
                <c:pt idx="2">
                  <c:v>Skincare</c:v>
                </c:pt>
              </c:strCache>
            </c:strRef>
          </c:cat>
          <c:val>
            <c:numRef>
              <c:f>Pivot!$B$23:$B$26</c:f>
              <c:numCache>
                <c:formatCode>General</c:formatCode>
                <c:ptCount val="3"/>
                <c:pt idx="0">
                  <c:v>299</c:v>
                </c:pt>
                <c:pt idx="1">
                  <c:v>373</c:v>
                </c:pt>
                <c:pt idx="2">
                  <c:v>667</c:v>
                </c:pt>
              </c:numCache>
            </c:numRef>
          </c:val>
          <c:extLst>
            <c:ext xmlns:c16="http://schemas.microsoft.com/office/drawing/2014/chart" uri="{C3380CC4-5D6E-409C-BE32-E72D297353CC}">
              <c16:uniqueId val="{00000000-3979-4AAA-92B7-D5E8F7B240E0}"/>
            </c:ext>
          </c:extLst>
        </c:ser>
        <c:dLbls>
          <c:showLegendKey val="0"/>
          <c:showVal val="0"/>
          <c:showCatName val="0"/>
          <c:showSerName val="0"/>
          <c:showPercent val="0"/>
          <c:showBubbleSize val="0"/>
        </c:dLbls>
        <c:gapWidth val="269"/>
        <c:axId val="1206536560"/>
        <c:axId val="1206532720"/>
      </c:barChart>
      <c:lineChart>
        <c:grouping val="standard"/>
        <c:varyColors val="0"/>
        <c:ser>
          <c:idx val="1"/>
          <c:order val="1"/>
          <c:tx>
            <c:strRef>
              <c:f>Pivot!$C$20:$C$22</c:f>
              <c:strCache>
                <c:ptCount val="1"/>
                <c:pt idx="0">
                  <c:v>Carrier A - Sum of Shipping costs</c:v>
                </c:pt>
              </c:strCache>
            </c:strRef>
          </c:tx>
          <c:spPr>
            <a:ln w="38100" cap="rnd">
              <a:solidFill>
                <a:schemeClr val="accent2"/>
              </a:solidFill>
              <a:round/>
            </a:ln>
            <a:effectLst/>
          </c:spPr>
          <c:marker>
            <c:symbol val="circle"/>
            <c:size val="8"/>
            <c:spPr>
              <a:solidFill>
                <a:schemeClr val="accent2"/>
              </a:solidFill>
              <a:ln>
                <a:noFill/>
              </a:ln>
              <a:effectLst/>
            </c:spPr>
          </c:marker>
          <c:cat>
            <c:strRef>
              <c:f>Pivot!$A$23:$A$26</c:f>
              <c:strCache>
                <c:ptCount val="3"/>
                <c:pt idx="0">
                  <c:v>Cosmetics</c:v>
                </c:pt>
                <c:pt idx="1">
                  <c:v>Haircare</c:v>
                </c:pt>
                <c:pt idx="2">
                  <c:v>Skincare</c:v>
                </c:pt>
              </c:strCache>
            </c:strRef>
          </c:cat>
          <c:val>
            <c:numRef>
              <c:f>Pivot!$C$23:$C$26</c:f>
              <c:numCache>
                <c:formatCode>0</c:formatCode>
                <c:ptCount val="3"/>
                <c:pt idx="0">
                  <c:v>28.80177612579466</c:v>
                </c:pt>
                <c:pt idx="1">
                  <c:v>55.844746464641311</c:v>
                </c:pt>
                <c:pt idx="2">
                  <c:v>70.891308015799524</c:v>
                </c:pt>
              </c:numCache>
            </c:numRef>
          </c:val>
          <c:smooth val="0"/>
          <c:extLst>
            <c:ext xmlns:c16="http://schemas.microsoft.com/office/drawing/2014/chart" uri="{C3380CC4-5D6E-409C-BE32-E72D297353CC}">
              <c16:uniqueId val="{00000001-3979-4AAA-92B7-D5E8F7B240E0}"/>
            </c:ext>
          </c:extLst>
        </c:ser>
        <c:dLbls>
          <c:showLegendKey val="0"/>
          <c:showVal val="0"/>
          <c:showCatName val="0"/>
          <c:showSerName val="0"/>
          <c:showPercent val="0"/>
          <c:showBubbleSize val="0"/>
        </c:dLbls>
        <c:marker val="1"/>
        <c:smooth val="0"/>
        <c:axId val="1210819072"/>
        <c:axId val="1210815712"/>
      </c:lineChart>
      <c:catAx>
        <c:axId val="1206536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tx1">
                    <a:lumMod val="65000"/>
                    <a:lumOff val="35000"/>
                  </a:schemeClr>
                </a:solidFill>
                <a:latin typeface="+mn-lt"/>
                <a:ea typeface="+mn-ea"/>
                <a:cs typeface="+mn-cs"/>
              </a:defRPr>
            </a:pPr>
            <a:endParaRPr lang="en-US"/>
          </a:p>
        </c:txPr>
        <c:crossAx val="1206532720"/>
        <c:crosses val="autoZero"/>
        <c:auto val="1"/>
        <c:lblAlgn val="ctr"/>
        <c:lblOffset val="100"/>
        <c:noMultiLvlLbl val="0"/>
      </c:catAx>
      <c:valAx>
        <c:axId val="1206532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36560"/>
        <c:crosses val="autoZero"/>
        <c:crossBetween val="between"/>
      </c:valAx>
      <c:valAx>
        <c:axId val="121081571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819072"/>
        <c:crosses val="max"/>
        <c:crossBetween val="between"/>
      </c:valAx>
      <c:catAx>
        <c:axId val="1210819072"/>
        <c:scaling>
          <c:orientation val="minMax"/>
        </c:scaling>
        <c:delete val="1"/>
        <c:axPos val="b"/>
        <c:numFmt formatCode="General" sourceLinked="1"/>
        <c:majorTickMark val="out"/>
        <c:minorTickMark val="none"/>
        <c:tickLblPos val="nextTo"/>
        <c:crossAx val="1210815712"/>
        <c:crosses val="autoZero"/>
        <c:auto val="1"/>
        <c:lblAlgn val="ctr"/>
        <c:lblOffset val="100"/>
        <c:noMultiLvlLbl val="0"/>
      </c:catAx>
      <c:spPr>
        <a:noFill/>
        <a:ln>
          <a:noFill/>
        </a:ln>
        <a:effectLst/>
      </c:spPr>
    </c:plotArea>
    <c:legend>
      <c:legendPos val="r"/>
      <c:layout>
        <c:manualLayout>
          <c:xMode val="edge"/>
          <c:yMode val="edge"/>
          <c:x val="0.70942489489698746"/>
          <c:y val="0.37255387246485494"/>
          <c:w val="0.27287599005876478"/>
          <c:h val="0.387535792465070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report.xlsx]Pivot!PivotTable33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
                <a:ea typeface="+mn-ea"/>
                <a:cs typeface="+mn-cs"/>
              </a:defRPr>
            </a:pPr>
            <a:r>
              <a:rPr lang="en-US" sz="1400" b="1">
                <a:latin typeface="Calibri "/>
              </a:rPr>
              <a:t>Average</a:t>
            </a:r>
            <a:r>
              <a:rPr lang="en-US" sz="1400" b="1" baseline="0">
                <a:latin typeface="Calibri "/>
              </a:rPr>
              <a:t> Shipping Lead Time by Product</a:t>
            </a:r>
            <a:endParaRPr lang="en-US" sz="1400" b="1">
              <a:latin typeface="Calibri "/>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Pivot!$T$71:$T$72</c:f>
              <c:strCache>
                <c:ptCount val="1"/>
                <c:pt idx="0">
                  <c:v>Carrier A</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Pivot!$S$73:$S$76</c:f>
              <c:strCache>
                <c:ptCount val="3"/>
                <c:pt idx="0">
                  <c:v>Cosmetics</c:v>
                </c:pt>
                <c:pt idx="1">
                  <c:v>Haircare</c:v>
                </c:pt>
                <c:pt idx="2">
                  <c:v>Skincare</c:v>
                </c:pt>
              </c:strCache>
            </c:strRef>
          </c:cat>
          <c:val>
            <c:numRef>
              <c:f>Pivot!$T$73:$T$76</c:f>
              <c:numCache>
                <c:formatCode>General</c:formatCode>
                <c:ptCount val="3"/>
                <c:pt idx="0">
                  <c:v>15.4</c:v>
                </c:pt>
                <c:pt idx="1">
                  <c:v>11.666666666666666</c:v>
                </c:pt>
                <c:pt idx="2">
                  <c:v>16.928571428571427</c:v>
                </c:pt>
              </c:numCache>
            </c:numRef>
          </c:val>
          <c:extLst>
            <c:ext xmlns:c16="http://schemas.microsoft.com/office/drawing/2014/chart" uri="{C3380CC4-5D6E-409C-BE32-E72D297353CC}">
              <c16:uniqueId val="{00000000-C597-42B1-BB30-E1D881DCB915}"/>
            </c:ext>
          </c:extLst>
        </c:ser>
        <c:dLbls>
          <c:showLegendKey val="0"/>
          <c:showVal val="0"/>
          <c:showCatName val="0"/>
          <c:showSerName val="0"/>
          <c:showPercent val="0"/>
          <c:showBubbleSize val="0"/>
        </c:dLbls>
        <c:gapWidth val="150"/>
        <c:overlap val="-27"/>
        <c:axId val="1295282784"/>
        <c:axId val="1295286144"/>
      </c:barChart>
      <c:catAx>
        <c:axId val="129528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95286144"/>
        <c:crosses val="autoZero"/>
        <c:auto val="1"/>
        <c:lblAlgn val="ctr"/>
        <c:lblOffset val="100"/>
        <c:noMultiLvlLbl val="0"/>
      </c:catAx>
      <c:valAx>
        <c:axId val="1295286144"/>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Days</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8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report.xlsx]Pivot!PivotTable22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baseline="0"/>
              <a:t>Supplier Coverage Region</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14260717410324E-2"/>
          <c:y val="0.14712744240303297"/>
          <c:w val="0.74803937007874011"/>
          <c:h val="0.65853091280256637"/>
        </c:manualLayout>
      </c:layout>
      <c:barChart>
        <c:barDir val="col"/>
        <c:grouping val="clustered"/>
        <c:varyColors val="0"/>
        <c:ser>
          <c:idx val="0"/>
          <c:order val="0"/>
          <c:tx>
            <c:strRef>
              <c:f>Pivot!$I$19:$I$20</c:f>
              <c:strCache>
                <c:ptCount val="1"/>
                <c:pt idx="0">
                  <c:v>Bangalore</c:v>
                </c:pt>
              </c:strCache>
            </c:strRef>
          </c:tx>
          <c:spPr>
            <a:solidFill>
              <a:schemeClr val="accent1"/>
            </a:solidFill>
            <a:ln>
              <a:noFill/>
            </a:ln>
            <a:effectLst/>
          </c:spPr>
          <c:invertIfNegative val="0"/>
          <c:cat>
            <c:strRef>
              <c:f>Pivot!$H$21:$H$26</c:f>
              <c:strCache>
                <c:ptCount val="5"/>
                <c:pt idx="0">
                  <c:v>Supplier 1</c:v>
                </c:pt>
                <c:pt idx="1">
                  <c:v>Supplier 2</c:v>
                </c:pt>
                <c:pt idx="2">
                  <c:v>Supplier 3</c:v>
                </c:pt>
                <c:pt idx="3">
                  <c:v>Supplier 4</c:v>
                </c:pt>
                <c:pt idx="4">
                  <c:v>Supplier 5</c:v>
                </c:pt>
              </c:strCache>
            </c:strRef>
          </c:cat>
          <c:val>
            <c:numRef>
              <c:f>Pivot!$I$21:$I$26</c:f>
              <c:numCache>
                <c:formatCode>General</c:formatCode>
                <c:ptCount val="5"/>
                <c:pt idx="0">
                  <c:v>2</c:v>
                </c:pt>
                <c:pt idx="2">
                  <c:v>2</c:v>
                </c:pt>
                <c:pt idx="4">
                  <c:v>2</c:v>
                </c:pt>
              </c:numCache>
            </c:numRef>
          </c:val>
          <c:extLst>
            <c:ext xmlns:c16="http://schemas.microsoft.com/office/drawing/2014/chart" uri="{C3380CC4-5D6E-409C-BE32-E72D297353CC}">
              <c16:uniqueId val="{00000000-092B-4F20-986F-AA3E80AF3D47}"/>
            </c:ext>
          </c:extLst>
        </c:ser>
        <c:ser>
          <c:idx val="1"/>
          <c:order val="1"/>
          <c:tx>
            <c:strRef>
              <c:f>Pivot!$J$19:$J$20</c:f>
              <c:strCache>
                <c:ptCount val="1"/>
                <c:pt idx="0">
                  <c:v>Chennai</c:v>
                </c:pt>
              </c:strCache>
            </c:strRef>
          </c:tx>
          <c:spPr>
            <a:solidFill>
              <a:schemeClr val="accent2"/>
            </a:solidFill>
            <a:ln>
              <a:noFill/>
            </a:ln>
            <a:effectLst/>
          </c:spPr>
          <c:invertIfNegative val="0"/>
          <c:cat>
            <c:strRef>
              <c:f>Pivot!$H$21:$H$26</c:f>
              <c:strCache>
                <c:ptCount val="5"/>
                <c:pt idx="0">
                  <c:v>Supplier 1</c:v>
                </c:pt>
                <c:pt idx="1">
                  <c:v>Supplier 2</c:v>
                </c:pt>
                <c:pt idx="2">
                  <c:v>Supplier 3</c:v>
                </c:pt>
                <c:pt idx="3">
                  <c:v>Supplier 4</c:v>
                </c:pt>
                <c:pt idx="4">
                  <c:v>Supplier 5</c:v>
                </c:pt>
              </c:strCache>
            </c:strRef>
          </c:cat>
          <c:val>
            <c:numRef>
              <c:f>Pivot!$J$21:$J$26</c:f>
              <c:numCache>
                <c:formatCode>General</c:formatCode>
                <c:ptCount val="5"/>
                <c:pt idx="0">
                  <c:v>3</c:v>
                </c:pt>
                <c:pt idx="1">
                  <c:v>1</c:v>
                </c:pt>
                <c:pt idx="2">
                  <c:v>2</c:v>
                </c:pt>
                <c:pt idx="3">
                  <c:v>2</c:v>
                </c:pt>
                <c:pt idx="4">
                  <c:v>1</c:v>
                </c:pt>
              </c:numCache>
            </c:numRef>
          </c:val>
          <c:extLst>
            <c:ext xmlns:c16="http://schemas.microsoft.com/office/drawing/2014/chart" uri="{C3380CC4-5D6E-409C-BE32-E72D297353CC}">
              <c16:uniqueId val="{00000001-092B-4F20-986F-AA3E80AF3D47}"/>
            </c:ext>
          </c:extLst>
        </c:ser>
        <c:ser>
          <c:idx val="2"/>
          <c:order val="2"/>
          <c:tx>
            <c:strRef>
              <c:f>Pivot!$K$19:$K$20</c:f>
              <c:strCache>
                <c:ptCount val="1"/>
                <c:pt idx="0">
                  <c:v>Delhi</c:v>
                </c:pt>
              </c:strCache>
            </c:strRef>
          </c:tx>
          <c:spPr>
            <a:solidFill>
              <a:schemeClr val="accent3"/>
            </a:solidFill>
            <a:ln>
              <a:noFill/>
            </a:ln>
            <a:effectLst/>
          </c:spPr>
          <c:invertIfNegative val="0"/>
          <c:cat>
            <c:strRef>
              <c:f>Pivot!$H$21:$H$26</c:f>
              <c:strCache>
                <c:ptCount val="5"/>
                <c:pt idx="0">
                  <c:v>Supplier 1</c:v>
                </c:pt>
                <c:pt idx="1">
                  <c:v>Supplier 2</c:v>
                </c:pt>
                <c:pt idx="2">
                  <c:v>Supplier 3</c:v>
                </c:pt>
                <c:pt idx="3">
                  <c:v>Supplier 4</c:v>
                </c:pt>
                <c:pt idx="4">
                  <c:v>Supplier 5</c:v>
                </c:pt>
              </c:strCache>
            </c:strRef>
          </c:cat>
          <c:val>
            <c:numRef>
              <c:f>Pivot!$K$21:$K$26</c:f>
              <c:numCache>
                <c:formatCode>General</c:formatCode>
                <c:ptCount val="5"/>
                <c:pt idx="0">
                  <c:v>3</c:v>
                </c:pt>
                <c:pt idx="1">
                  <c:v>1</c:v>
                </c:pt>
                <c:pt idx="2">
                  <c:v>1</c:v>
                </c:pt>
              </c:numCache>
            </c:numRef>
          </c:val>
          <c:extLst>
            <c:ext xmlns:c16="http://schemas.microsoft.com/office/drawing/2014/chart" uri="{C3380CC4-5D6E-409C-BE32-E72D297353CC}">
              <c16:uniqueId val="{00000002-092B-4F20-986F-AA3E80AF3D47}"/>
            </c:ext>
          </c:extLst>
        </c:ser>
        <c:ser>
          <c:idx val="3"/>
          <c:order val="3"/>
          <c:tx>
            <c:strRef>
              <c:f>Pivot!$L$19:$L$20</c:f>
              <c:strCache>
                <c:ptCount val="1"/>
                <c:pt idx="0">
                  <c:v>Kolkata</c:v>
                </c:pt>
              </c:strCache>
            </c:strRef>
          </c:tx>
          <c:spPr>
            <a:solidFill>
              <a:schemeClr val="accent4"/>
            </a:solidFill>
            <a:ln>
              <a:noFill/>
            </a:ln>
            <a:effectLst/>
          </c:spPr>
          <c:invertIfNegative val="0"/>
          <c:cat>
            <c:strRef>
              <c:f>Pivot!$H$21:$H$26</c:f>
              <c:strCache>
                <c:ptCount val="5"/>
                <c:pt idx="0">
                  <c:v>Supplier 1</c:v>
                </c:pt>
                <c:pt idx="1">
                  <c:v>Supplier 2</c:v>
                </c:pt>
                <c:pt idx="2">
                  <c:v>Supplier 3</c:v>
                </c:pt>
                <c:pt idx="3">
                  <c:v>Supplier 4</c:v>
                </c:pt>
                <c:pt idx="4">
                  <c:v>Supplier 5</c:v>
                </c:pt>
              </c:strCache>
            </c:strRef>
          </c:cat>
          <c:val>
            <c:numRef>
              <c:f>Pivot!$L$21:$L$26</c:f>
              <c:numCache>
                <c:formatCode>General</c:formatCode>
                <c:ptCount val="5"/>
                <c:pt idx="0">
                  <c:v>3</c:v>
                </c:pt>
                <c:pt idx="1">
                  <c:v>2</c:v>
                </c:pt>
                <c:pt idx="2">
                  <c:v>3</c:v>
                </c:pt>
                <c:pt idx="3">
                  <c:v>1</c:v>
                </c:pt>
                <c:pt idx="4">
                  <c:v>4</c:v>
                </c:pt>
              </c:numCache>
            </c:numRef>
          </c:val>
          <c:extLst>
            <c:ext xmlns:c16="http://schemas.microsoft.com/office/drawing/2014/chart" uri="{C3380CC4-5D6E-409C-BE32-E72D297353CC}">
              <c16:uniqueId val="{00000003-092B-4F20-986F-AA3E80AF3D47}"/>
            </c:ext>
          </c:extLst>
        </c:ser>
        <c:ser>
          <c:idx val="4"/>
          <c:order val="4"/>
          <c:tx>
            <c:strRef>
              <c:f>Pivot!$M$19:$M$20</c:f>
              <c:strCache>
                <c:ptCount val="1"/>
                <c:pt idx="0">
                  <c:v>Mumbai</c:v>
                </c:pt>
              </c:strCache>
            </c:strRef>
          </c:tx>
          <c:spPr>
            <a:solidFill>
              <a:schemeClr val="accent5"/>
            </a:solidFill>
            <a:ln>
              <a:noFill/>
            </a:ln>
            <a:effectLst/>
          </c:spPr>
          <c:invertIfNegative val="0"/>
          <c:cat>
            <c:strRef>
              <c:f>Pivot!$H$21:$H$26</c:f>
              <c:strCache>
                <c:ptCount val="5"/>
                <c:pt idx="0">
                  <c:v>Supplier 1</c:v>
                </c:pt>
                <c:pt idx="1">
                  <c:v>Supplier 2</c:v>
                </c:pt>
                <c:pt idx="2">
                  <c:v>Supplier 3</c:v>
                </c:pt>
                <c:pt idx="3">
                  <c:v>Supplier 4</c:v>
                </c:pt>
                <c:pt idx="4">
                  <c:v>Supplier 5</c:v>
                </c:pt>
              </c:strCache>
            </c:strRef>
          </c:cat>
          <c:val>
            <c:numRef>
              <c:f>Pivot!$M$21:$M$26</c:f>
              <c:numCache>
                <c:formatCode>General</c:formatCode>
                <c:ptCount val="5"/>
                <c:pt idx="0">
                  <c:v>4</c:v>
                </c:pt>
                <c:pt idx="1">
                  <c:v>1</c:v>
                </c:pt>
                <c:pt idx="2">
                  <c:v>1</c:v>
                </c:pt>
                <c:pt idx="3">
                  <c:v>1</c:v>
                </c:pt>
              </c:numCache>
            </c:numRef>
          </c:val>
          <c:extLst>
            <c:ext xmlns:c16="http://schemas.microsoft.com/office/drawing/2014/chart" uri="{C3380CC4-5D6E-409C-BE32-E72D297353CC}">
              <c16:uniqueId val="{00000004-092B-4F20-986F-AA3E80AF3D47}"/>
            </c:ext>
          </c:extLst>
        </c:ser>
        <c:dLbls>
          <c:showLegendKey val="0"/>
          <c:showVal val="0"/>
          <c:showCatName val="0"/>
          <c:showSerName val="0"/>
          <c:showPercent val="0"/>
          <c:showBubbleSize val="0"/>
        </c:dLbls>
        <c:gapWidth val="219"/>
        <c:overlap val="-27"/>
        <c:axId val="1295244864"/>
        <c:axId val="1295223264"/>
      </c:barChart>
      <c:catAx>
        <c:axId val="129524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95223264"/>
        <c:crosses val="autoZero"/>
        <c:auto val="1"/>
        <c:lblAlgn val="ctr"/>
        <c:lblOffset val="100"/>
        <c:noMultiLvlLbl val="0"/>
      </c:catAx>
      <c:valAx>
        <c:axId val="1295223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4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baseline="0"/>
              <a:t>Transportation Cost by Route and Mode</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24935041656378318"/>
          <c:w val="0.73173381452318464"/>
          <c:h val="0.60554455083358483"/>
        </c:manualLayout>
      </c:layout>
      <c:barChart>
        <c:barDir val="col"/>
        <c:grouping val="clustered"/>
        <c:varyColors val="0"/>
        <c:ser>
          <c:idx val="0"/>
          <c:order val="0"/>
          <c:tx>
            <c:v>Route A</c:v>
          </c:tx>
          <c:spPr>
            <a:solidFill>
              <a:schemeClr val="accent1"/>
            </a:solidFill>
            <a:ln>
              <a:noFill/>
            </a:ln>
            <a:effectLst/>
          </c:spPr>
          <c:invertIfNegative val="0"/>
          <c:cat>
            <c:strLit>
              <c:ptCount val="4"/>
              <c:pt idx="0">
                <c:v>Air</c:v>
              </c:pt>
              <c:pt idx="1">
                <c:v>Rail</c:v>
              </c:pt>
              <c:pt idx="2">
                <c:v>Road</c:v>
              </c:pt>
              <c:pt idx="3">
                <c:v>Sea</c:v>
              </c:pt>
            </c:strLit>
          </c:cat>
          <c:val>
            <c:numLit>
              <c:formatCode>General</c:formatCode>
              <c:ptCount val="4"/>
              <c:pt idx="0">
                <c:v>527.35340546305122</c:v>
              </c:pt>
              <c:pt idx="1">
                <c:v>485.05075078595922</c:v>
              </c:pt>
              <c:pt idx="2">
                <c:v>539.49200974114513</c:v>
              </c:pt>
              <c:pt idx="3">
                <c:v>335.68063087193957</c:v>
              </c:pt>
            </c:numLit>
          </c:val>
          <c:extLst>
            <c:ext xmlns:c16="http://schemas.microsoft.com/office/drawing/2014/chart" uri="{C3380CC4-5D6E-409C-BE32-E72D297353CC}">
              <c16:uniqueId val="{00000000-71A0-42D7-8F90-6013FDF176B1}"/>
            </c:ext>
          </c:extLst>
        </c:ser>
        <c:ser>
          <c:idx val="1"/>
          <c:order val="1"/>
          <c:tx>
            <c:v>Route B</c:v>
          </c:tx>
          <c:spPr>
            <a:solidFill>
              <a:schemeClr val="accent2"/>
            </a:solidFill>
            <a:ln>
              <a:noFill/>
            </a:ln>
            <a:effectLst/>
          </c:spPr>
          <c:invertIfNegative val="0"/>
          <c:cat>
            <c:strLit>
              <c:ptCount val="4"/>
              <c:pt idx="0">
                <c:v>Air</c:v>
              </c:pt>
              <c:pt idx="1">
                <c:v>Rail</c:v>
              </c:pt>
              <c:pt idx="2">
                <c:v>Road</c:v>
              </c:pt>
              <c:pt idx="3">
                <c:v>Sea</c:v>
              </c:pt>
            </c:strLit>
          </c:cat>
          <c:val>
            <c:numLit>
              <c:formatCode>General</c:formatCode>
              <c:ptCount val="4"/>
              <c:pt idx="0">
                <c:v>637.83686073081583</c:v>
              </c:pt>
              <c:pt idx="1">
                <c:v>637.03734012828431</c:v>
              </c:pt>
              <c:pt idx="2">
                <c:v>552.39116511615225</c:v>
              </c:pt>
              <c:pt idx="3">
                <c:v>564.33835209408642</c:v>
              </c:pt>
            </c:numLit>
          </c:val>
          <c:extLst>
            <c:ext xmlns:c16="http://schemas.microsoft.com/office/drawing/2014/chart" uri="{C3380CC4-5D6E-409C-BE32-E72D297353CC}">
              <c16:uniqueId val="{00000001-71A0-42D7-8F90-6013FDF176B1}"/>
            </c:ext>
          </c:extLst>
        </c:ser>
        <c:ser>
          <c:idx val="2"/>
          <c:order val="2"/>
          <c:tx>
            <c:v>Route C</c:v>
          </c:tx>
          <c:spPr>
            <a:solidFill>
              <a:schemeClr val="accent3"/>
            </a:solidFill>
            <a:ln>
              <a:noFill/>
            </a:ln>
            <a:effectLst/>
          </c:spPr>
          <c:invertIfNegative val="0"/>
          <c:cat>
            <c:strLit>
              <c:ptCount val="4"/>
              <c:pt idx="0">
                <c:v>Air</c:v>
              </c:pt>
              <c:pt idx="1">
                <c:v>Rail</c:v>
              </c:pt>
              <c:pt idx="2">
                <c:v>Road</c:v>
              </c:pt>
              <c:pt idx="3">
                <c:v>Sea</c:v>
              </c:pt>
            </c:strLit>
          </c:cat>
          <c:val>
            <c:numLit>
              <c:formatCode>General</c:formatCode>
              <c:ptCount val="4"/>
              <c:pt idx="0">
                <c:v>542.34775155056207</c:v>
              </c:pt>
              <c:pt idx="1">
                <c:v>456.93676870570533</c:v>
              </c:pt>
              <c:pt idx="2">
                <c:v>586.53927710647451</c:v>
              </c:pt>
              <c:pt idx="3">
                <c:v>341.7827479513935</c:v>
              </c:pt>
            </c:numLit>
          </c:val>
          <c:extLst>
            <c:ext xmlns:c16="http://schemas.microsoft.com/office/drawing/2014/chart" uri="{C3380CC4-5D6E-409C-BE32-E72D297353CC}">
              <c16:uniqueId val="{00000002-71A0-42D7-8F90-6013FDF176B1}"/>
            </c:ext>
          </c:extLst>
        </c:ser>
        <c:dLbls>
          <c:showLegendKey val="0"/>
          <c:showVal val="0"/>
          <c:showCatName val="0"/>
          <c:showSerName val="0"/>
          <c:showPercent val="0"/>
          <c:showBubbleSize val="0"/>
        </c:dLbls>
        <c:gapWidth val="219"/>
        <c:overlap val="-27"/>
        <c:axId val="1207514320"/>
        <c:axId val="1207524880"/>
      </c:barChart>
      <c:catAx>
        <c:axId val="120751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7524880"/>
        <c:crosses val="autoZero"/>
        <c:auto val="1"/>
        <c:lblAlgn val="ctr"/>
        <c:lblOffset val="100"/>
        <c:noMultiLvlLbl val="0"/>
      </c:catAx>
      <c:valAx>
        <c:axId val="1207524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1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report.xlsx]Pivot!PivotTable2</c:name>
    <c:fmtId val="22"/>
  </c:pivotSource>
  <c:chart>
    <c:title>
      <c:tx>
        <c:rich>
          <a:bodyPr rot="0" spcFirstLastPara="1" vertOverflow="ellipsis" vert="horz" wrap="square" anchor="ctr" anchorCtr="1"/>
          <a:lstStyle/>
          <a:p>
            <a:pPr>
              <a:defRPr sz="1400" b="1" i="0" u="none" strike="noStrike" kern="1200" baseline="0">
                <a:solidFill>
                  <a:schemeClr val="tx2"/>
                </a:solidFill>
                <a:latin typeface="Calibri "/>
                <a:ea typeface="+mn-ea"/>
                <a:cs typeface="+mn-cs"/>
              </a:defRPr>
            </a:pPr>
            <a:r>
              <a:rPr lang="en-IN" sz="1400">
                <a:latin typeface="Calibri "/>
              </a:rPr>
              <a:t>Average Lead Time by Product and Stage </a:t>
            </a:r>
          </a:p>
        </c:rich>
      </c:tx>
      <c:layout>
        <c:manualLayout>
          <c:xMode val="edge"/>
          <c:yMode val="edge"/>
          <c:x val="0.21825476190476195"/>
          <c:y val="3.351759259259259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Calibri "/>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Shipping Lead Time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Pivot!$A$4:$A$7</c:f>
              <c:strCache>
                <c:ptCount val="3"/>
                <c:pt idx="0">
                  <c:v>Cosmetics</c:v>
                </c:pt>
                <c:pt idx="1">
                  <c:v>Haircare</c:v>
                </c:pt>
                <c:pt idx="2">
                  <c:v>Skincare</c:v>
                </c:pt>
              </c:strCache>
            </c:strRef>
          </c:cat>
          <c:val>
            <c:numRef>
              <c:f>Pivot!$B$4:$B$7</c:f>
              <c:numCache>
                <c:formatCode>0.00</c:formatCode>
                <c:ptCount val="3"/>
                <c:pt idx="0">
                  <c:v>15.384615384615385</c:v>
                </c:pt>
                <c:pt idx="1">
                  <c:v>15.529411764705882</c:v>
                </c:pt>
                <c:pt idx="2">
                  <c:v>16.7</c:v>
                </c:pt>
              </c:numCache>
            </c:numRef>
          </c:val>
          <c:extLst>
            <c:ext xmlns:c16="http://schemas.microsoft.com/office/drawing/2014/chart" uri="{C3380CC4-5D6E-409C-BE32-E72D297353CC}">
              <c16:uniqueId val="{00000000-5103-4C89-B274-D018402B736D}"/>
            </c:ext>
          </c:extLst>
        </c:ser>
        <c:ser>
          <c:idx val="1"/>
          <c:order val="1"/>
          <c:tx>
            <c:strRef>
              <c:f>Pivot!$C$3</c:f>
              <c:strCache>
                <c:ptCount val="1"/>
                <c:pt idx="0">
                  <c:v>Manufacturing Lead Time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Pivot!$A$4:$A$7</c:f>
              <c:strCache>
                <c:ptCount val="3"/>
                <c:pt idx="0">
                  <c:v>Cosmetics</c:v>
                </c:pt>
                <c:pt idx="1">
                  <c:v>Haircare</c:v>
                </c:pt>
                <c:pt idx="2">
                  <c:v>Skincare</c:v>
                </c:pt>
              </c:strCache>
            </c:strRef>
          </c:cat>
          <c:val>
            <c:numRef>
              <c:f>Pivot!$C$4:$C$7</c:f>
              <c:numCache>
                <c:formatCode>0.00</c:formatCode>
                <c:ptCount val="3"/>
                <c:pt idx="0">
                  <c:v>13.307692307692308</c:v>
                </c:pt>
                <c:pt idx="1">
                  <c:v>17.058823529411764</c:v>
                </c:pt>
                <c:pt idx="2">
                  <c:v>13.775</c:v>
                </c:pt>
              </c:numCache>
            </c:numRef>
          </c:val>
          <c:extLst>
            <c:ext xmlns:c16="http://schemas.microsoft.com/office/drawing/2014/chart" uri="{C3380CC4-5D6E-409C-BE32-E72D297353CC}">
              <c16:uniqueId val="{00000001-5103-4C89-B274-D018402B736D}"/>
            </c:ext>
          </c:extLst>
        </c:ser>
        <c:ser>
          <c:idx val="2"/>
          <c:order val="2"/>
          <c:tx>
            <c:strRef>
              <c:f>Pivot!$D$3</c:f>
              <c:strCache>
                <c:ptCount val="1"/>
                <c:pt idx="0">
                  <c:v>Supplier Lead Time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Pivot!$A$4:$A$7</c:f>
              <c:strCache>
                <c:ptCount val="3"/>
                <c:pt idx="0">
                  <c:v>Cosmetics</c:v>
                </c:pt>
                <c:pt idx="1">
                  <c:v>Haircare</c:v>
                </c:pt>
                <c:pt idx="2">
                  <c:v>Skincare</c:v>
                </c:pt>
              </c:strCache>
            </c:strRef>
          </c:cat>
          <c:val>
            <c:numRef>
              <c:f>Pivot!$D$4:$D$7</c:f>
              <c:numCache>
                <c:formatCode>0.00</c:formatCode>
                <c:ptCount val="3"/>
                <c:pt idx="0">
                  <c:v>13.538461538461538</c:v>
                </c:pt>
                <c:pt idx="1">
                  <c:v>18.705882352941178</c:v>
                </c:pt>
                <c:pt idx="2">
                  <c:v>18</c:v>
                </c:pt>
              </c:numCache>
            </c:numRef>
          </c:val>
          <c:extLst>
            <c:ext xmlns:c16="http://schemas.microsoft.com/office/drawing/2014/chart" uri="{C3380CC4-5D6E-409C-BE32-E72D297353CC}">
              <c16:uniqueId val="{00000002-5103-4C89-B274-D018402B736D}"/>
            </c:ext>
          </c:extLst>
        </c:ser>
        <c:dLbls>
          <c:showLegendKey val="0"/>
          <c:showVal val="0"/>
          <c:showCatName val="0"/>
          <c:showSerName val="0"/>
          <c:showPercent val="0"/>
          <c:showBubbleSize val="0"/>
        </c:dLbls>
        <c:gapWidth val="100"/>
        <c:axId val="528315312"/>
        <c:axId val="528321072"/>
      </c:barChart>
      <c:catAx>
        <c:axId val="5283153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528321072"/>
        <c:crosses val="autoZero"/>
        <c:auto val="1"/>
        <c:lblAlgn val="ctr"/>
        <c:lblOffset val="100"/>
        <c:noMultiLvlLbl val="0"/>
      </c:catAx>
      <c:valAx>
        <c:axId val="52832107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IN" sz="1000"/>
                  <a:t>Days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831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report.xlsx]Pivot!PivotTable31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
                <a:ea typeface="+mn-ea"/>
                <a:cs typeface="+mn-cs"/>
              </a:defRPr>
            </a:pPr>
            <a:r>
              <a:rPr lang="en-US" sz="1400" b="1">
                <a:latin typeface="Calibri "/>
              </a:rPr>
              <a:t>Total Supply Chain Lead Time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Pivot!$R$7</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Pivot!$Q$8:$Q$11</c:f>
              <c:strCache>
                <c:ptCount val="3"/>
                <c:pt idx="0">
                  <c:v>Cosmetics</c:v>
                </c:pt>
                <c:pt idx="1">
                  <c:v>Haircare</c:v>
                </c:pt>
                <c:pt idx="2">
                  <c:v>Skincare</c:v>
                </c:pt>
              </c:strCache>
            </c:strRef>
          </c:cat>
          <c:val>
            <c:numRef>
              <c:f>Pivot!$R$8:$R$11</c:f>
              <c:numCache>
                <c:formatCode>0.00</c:formatCode>
                <c:ptCount val="3"/>
                <c:pt idx="0">
                  <c:v>42.230769230769234</c:v>
                </c:pt>
                <c:pt idx="1">
                  <c:v>51.294117647058826</c:v>
                </c:pt>
                <c:pt idx="2">
                  <c:v>48.475000000000001</c:v>
                </c:pt>
              </c:numCache>
            </c:numRef>
          </c:val>
          <c:extLst>
            <c:ext xmlns:c16="http://schemas.microsoft.com/office/drawing/2014/chart" uri="{C3380CC4-5D6E-409C-BE32-E72D297353CC}">
              <c16:uniqueId val="{00000000-C4C6-46E6-847F-5B3787A95518}"/>
            </c:ext>
          </c:extLst>
        </c:ser>
        <c:dLbls>
          <c:dLblPos val="outEnd"/>
          <c:showLegendKey val="0"/>
          <c:showVal val="1"/>
          <c:showCatName val="0"/>
          <c:showSerName val="0"/>
          <c:showPercent val="0"/>
          <c:showBubbleSize val="0"/>
        </c:dLbls>
        <c:gapWidth val="150"/>
        <c:overlap val="-27"/>
        <c:axId val="1295242944"/>
        <c:axId val="1295245344"/>
      </c:barChart>
      <c:catAx>
        <c:axId val="129524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95245344"/>
        <c:crosses val="autoZero"/>
        <c:auto val="1"/>
        <c:lblAlgn val="ctr"/>
        <c:lblOffset val="100"/>
        <c:noMultiLvlLbl val="0"/>
      </c:catAx>
      <c:valAx>
        <c:axId val="1295245344"/>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b="1"/>
                  <a:t>Days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4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report.xlsx]Pivot!PivotTable20</c:name>
    <c:fmtId val="13"/>
  </c:pivotSource>
  <c:chart>
    <c:title>
      <c:tx>
        <c:rich>
          <a:bodyPr rot="0" spcFirstLastPara="1" vertOverflow="ellipsis" vert="horz" wrap="square" anchor="ctr" anchorCtr="1"/>
          <a:lstStyle/>
          <a:p>
            <a:pPr>
              <a:defRPr sz="1400" b="1" i="0" u="none" strike="noStrike" kern="1200" baseline="0">
                <a:solidFill>
                  <a:schemeClr val="tx2"/>
                </a:solidFill>
                <a:latin typeface="Calibri "/>
                <a:ea typeface="+mn-ea"/>
                <a:cs typeface="+mn-cs"/>
              </a:defRPr>
            </a:pPr>
            <a:r>
              <a:rPr lang="en-IN" sz="1400">
                <a:latin typeface="Calibri "/>
              </a:rPr>
              <a:t>Inventory</a:t>
            </a:r>
            <a:r>
              <a:rPr lang="en-IN" sz="1400" baseline="0">
                <a:latin typeface="Calibri "/>
              </a:rPr>
              <a:t> Status</a:t>
            </a:r>
            <a:r>
              <a:rPr lang="en-IN" sz="1400">
                <a:latin typeface="Calibri "/>
              </a:rPr>
              <a:t> by Product</a:t>
            </a:r>
          </a:p>
        </c:rich>
      </c:tx>
      <c:layout>
        <c:manualLayout>
          <c:xMode val="edge"/>
          <c:yMode val="edge"/>
          <c:x val="0.27948194444444446"/>
          <c:y val="0.132589814814814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Calibri "/>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339430248520545E-2"/>
          <c:y val="0.31606030699876869"/>
          <c:w val="0.70789904549155414"/>
          <c:h val="0.56012681872876169"/>
        </c:manualLayout>
      </c:layout>
      <c:barChart>
        <c:barDir val="col"/>
        <c:grouping val="clustered"/>
        <c:varyColors val="0"/>
        <c:ser>
          <c:idx val="0"/>
          <c:order val="0"/>
          <c:tx>
            <c:strRef>
              <c:f>Pivot!$G$13</c:f>
              <c:strCache>
                <c:ptCount val="1"/>
                <c:pt idx="0">
                  <c:v>Sum of Stock levels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Pivot!$F$14:$F$17</c:f>
              <c:strCache>
                <c:ptCount val="3"/>
                <c:pt idx="0">
                  <c:v>Cosmetics</c:v>
                </c:pt>
                <c:pt idx="1">
                  <c:v>Haircare</c:v>
                </c:pt>
                <c:pt idx="2">
                  <c:v>Skincare</c:v>
                </c:pt>
              </c:strCache>
            </c:strRef>
          </c:cat>
          <c:val>
            <c:numRef>
              <c:f>Pivot!$G$14:$G$17</c:f>
              <c:numCache>
                <c:formatCode>General</c:formatCode>
                <c:ptCount val="3"/>
                <c:pt idx="0">
                  <c:v>1525</c:v>
                </c:pt>
                <c:pt idx="1">
                  <c:v>1644</c:v>
                </c:pt>
                <c:pt idx="2">
                  <c:v>1608</c:v>
                </c:pt>
              </c:numCache>
            </c:numRef>
          </c:val>
          <c:extLst>
            <c:ext xmlns:c16="http://schemas.microsoft.com/office/drawing/2014/chart" uri="{C3380CC4-5D6E-409C-BE32-E72D297353CC}">
              <c16:uniqueId val="{00000000-C2FE-4A98-99D5-9E41226DF77D}"/>
            </c:ext>
          </c:extLst>
        </c:ser>
        <c:ser>
          <c:idx val="1"/>
          <c:order val="1"/>
          <c:tx>
            <c:strRef>
              <c:f>Pivot!$H$13</c:f>
              <c:strCache>
                <c:ptCount val="1"/>
                <c:pt idx="0">
                  <c:v>Sum of Availability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Pivot!$F$14:$F$17</c:f>
              <c:strCache>
                <c:ptCount val="3"/>
                <c:pt idx="0">
                  <c:v>Cosmetics</c:v>
                </c:pt>
                <c:pt idx="1">
                  <c:v>Haircare</c:v>
                </c:pt>
                <c:pt idx="2">
                  <c:v>Skincare</c:v>
                </c:pt>
              </c:strCache>
            </c:strRef>
          </c:cat>
          <c:val>
            <c:numRef>
              <c:f>Pivot!$H$14:$H$17</c:f>
              <c:numCache>
                <c:formatCode>General</c:formatCode>
                <c:ptCount val="3"/>
                <c:pt idx="0">
                  <c:v>1332</c:v>
                </c:pt>
                <c:pt idx="1">
                  <c:v>1471</c:v>
                </c:pt>
                <c:pt idx="2">
                  <c:v>2037</c:v>
                </c:pt>
              </c:numCache>
            </c:numRef>
          </c:val>
          <c:extLst>
            <c:ext xmlns:c16="http://schemas.microsoft.com/office/drawing/2014/chart" uri="{C3380CC4-5D6E-409C-BE32-E72D297353CC}">
              <c16:uniqueId val="{00000001-C2FE-4A98-99D5-9E41226DF77D}"/>
            </c:ext>
          </c:extLst>
        </c:ser>
        <c:dLbls>
          <c:dLblPos val="ctr"/>
          <c:showLegendKey val="0"/>
          <c:showVal val="1"/>
          <c:showCatName val="0"/>
          <c:showSerName val="0"/>
          <c:showPercent val="0"/>
          <c:showBubbleSize val="0"/>
        </c:dLbls>
        <c:gapWidth val="150"/>
        <c:axId val="1206536560"/>
        <c:axId val="1206537040"/>
      </c:barChart>
      <c:catAx>
        <c:axId val="12065365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1206537040"/>
        <c:crosses val="autoZero"/>
        <c:auto val="1"/>
        <c:lblAlgn val="ctr"/>
        <c:lblOffset val="100"/>
        <c:noMultiLvlLbl val="0"/>
      </c:catAx>
      <c:valAx>
        <c:axId val="1206537040"/>
        <c:scaling>
          <c:orientation val="minMax"/>
        </c:scaling>
        <c:delete val="1"/>
        <c:axPos val="l"/>
        <c:numFmt formatCode="General" sourceLinked="1"/>
        <c:majorTickMark val="out"/>
        <c:minorTickMark val="none"/>
        <c:tickLblPos val="nextTo"/>
        <c:crossAx val="1206536560"/>
        <c:crosses val="autoZero"/>
        <c:crossBetween val="between"/>
      </c:valAx>
      <c:spPr>
        <a:noFill/>
        <a:ln>
          <a:noFill/>
        </a:ln>
        <a:effectLst/>
      </c:spPr>
    </c:plotArea>
    <c:legend>
      <c:legendPos val="r"/>
      <c:layout>
        <c:manualLayout>
          <c:xMode val="edge"/>
          <c:yMode val="edge"/>
          <c:x val="0.72048003153107321"/>
          <c:y val="0.38826463661227284"/>
          <c:w val="0.22506194289963172"/>
          <c:h val="0.450569182130498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 Table for Report!Product 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Type</a:t>
            </a:r>
            <a:endParaRPr lang="en-US"/>
          </a:p>
        </c:rich>
      </c:tx>
      <c:layout>
        <c:manualLayout>
          <c:xMode val="edge"/>
          <c:yMode val="edge"/>
          <c:x val="0.43794304322822386"/>
          <c:y val="4.19677707348049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Report'!$B$3:$B$4</c:f>
              <c:strCache>
                <c:ptCount val="1"/>
                <c:pt idx="0">
                  <c:v>cosmetics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 Table for Report'!$A$5:$A$105</c:f>
              <c:strCache>
                <c:ptCount val="100"/>
                <c:pt idx="0">
                  <c:v>2</c:v>
                </c:pt>
                <c:pt idx="1">
                  <c:v>2</c:v>
                </c:pt>
                <c:pt idx="2">
                  <c:v>3</c:v>
                </c:pt>
                <c:pt idx="3">
                  <c:v>3</c:v>
                </c:pt>
                <c:pt idx="4">
                  <c:v>4</c:v>
                </c:pt>
                <c:pt idx="5">
                  <c:v>4</c:v>
                </c:pt>
                <c:pt idx="6">
                  <c:v>4</c:v>
                </c:pt>
                <c:pt idx="7">
                  <c:v>4</c:v>
                </c:pt>
                <c:pt idx="8">
                  <c:v>5</c:v>
                </c:pt>
                <c:pt idx="9">
                  <c:v>6</c:v>
                </c:pt>
                <c:pt idx="10">
                  <c:v>6</c:v>
                </c:pt>
                <c:pt idx="11">
                  <c:v>8</c:v>
                </c:pt>
                <c:pt idx="12">
                  <c:v>8</c:v>
                </c:pt>
                <c:pt idx="13">
                  <c:v>10</c:v>
                </c:pt>
                <c:pt idx="14">
                  <c:v>11</c:v>
                </c:pt>
                <c:pt idx="15">
                  <c:v>12</c:v>
                </c:pt>
                <c:pt idx="16">
                  <c:v>13</c:v>
                </c:pt>
                <c:pt idx="17">
                  <c:v>14</c:v>
                </c:pt>
                <c:pt idx="18">
                  <c:v>14</c:v>
                </c:pt>
                <c:pt idx="19">
                  <c:v>15</c:v>
                </c:pt>
                <c:pt idx="20">
                  <c:v>16</c:v>
                </c:pt>
                <c:pt idx="21">
                  <c:v>16</c:v>
                </c:pt>
                <c:pt idx="22">
                  <c:v>17</c:v>
                </c:pt>
                <c:pt idx="23">
                  <c:v>17</c:v>
                </c:pt>
                <c:pt idx="24">
                  <c:v>19</c:v>
                </c:pt>
                <c:pt idx="25">
                  <c:v>20</c:v>
                </c:pt>
                <c:pt idx="26">
                  <c:v>20</c:v>
                </c:pt>
                <c:pt idx="27">
                  <c:v>21</c:v>
                </c:pt>
                <c:pt idx="28">
                  <c:v>23</c:v>
                </c:pt>
                <c:pt idx="29">
                  <c:v>24</c:v>
                </c:pt>
                <c:pt idx="30">
                  <c:v>26</c:v>
                </c:pt>
                <c:pt idx="31">
                  <c:v>27</c:v>
                </c:pt>
                <c:pt idx="32">
                  <c:v>27</c:v>
                </c:pt>
                <c:pt idx="33">
                  <c:v>28</c:v>
                </c:pt>
                <c:pt idx="34">
                  <c:v>30</c:v>
                </c:pt>
                <c:pt idx="35">
                  <c:v>31</c:v>
                </c:pt>
                <c:pt idx="36">
                  <c:v>34</c:v>
                </c:pt>
                <c:pt idx="37">
                  <c:v>34</c:v>
                </c:pt>
                <c:pt idx="38">
                  <c:v>36</c:v>
                </c:pt>
                <c:pt idx="39">
                  <c:v>37</c:v>
                </c:pt>
                <c:pt idx="40">
                  <c:v>37</c:v>
                </c:pt>
                <c:pt idx="41">
                  <c:v>38</c:v>
                </c:pt>
                <c:pt idx="42">
                  <c:v>40</c:v>
                </c:pt>
                <c:pt idx="43">
                  <c:v>43</c:v>
                </c:pt>
                <c:pt idx="44">
                  <c:v>47</c:v>
                </c:pt>
                <c:pt idx="45">
                  <c:v>48</c:v>
                </c:pt>
                <c:pt idx="46">
                  <c:v>48</c:v>
                </c:pt>
                <c:pt idx="47">
                  <c:v>49</c:v>
                </c:pt>
                <c:pt idx="48">
                  <c:v>51</c:v>
                </c:pt>
                <c:pt idx="49">
                  <c:v>51</c:v>
                </c:pt>
                <c:pt idx="50">
                  <c:v>51</c:v>
                </c:pt>
                <c:pt idx="51">
                  <c:v>52</c:v>
                </c:pt>
                <c:pt idx="52">
                  <c:v>52</c:v>
                </c:pt>
                <c:pt idx="53">
                  <c:v>55</c:v>
                </c:pt>
                <c:pt idx="54">
                  <c:v>57</c:v>
                </c:pt>
                <c:pt idx="55">
                  <c:v>57</c:v>
                </c:pt>
                <c:pt idx="56">
                  <c:v>60</c:v>
                </c:pt>
                <c:pt idx="57">
                  <c:v>61</c:v>
                </c:pt>
                <c:pt idx="58">
                  <c:v>62</c:v>
                </c:pt>
                <c:pt idx="59">
                  <c:v>63</c:v>
                </c:pt>
                <c:pt idx="60">
                  <c:v>64</c:v>
                </c:pt>
                <c:pt idx="61">
                  <c:v>64</c:v>
                </c:pt>
                <c:pt idx="62">
                  <c:v>65</c:v>
                </c:pt>
                <c:pt idx="63">
                  <c:v>69</c:v>
                </c:pt>
                <c:pt idx="64">
                  <c:v>69</c:v>
                </c:pt>
                <c:pt idx="65">
                  <c:v>69</c:v>
                </c:pt>
                <c:pt idx="66">
                  <c:v>69</c:v>
                </c:pt>
                <c:pt idx="67">
                  <c:v>69</c:v>
                </c:pt>
                <c:pt idx="68">
                  <c:v>70</c:v>
                </c:pt>
                <c:pt idx="69">
                  <c:v>71</c:v>
                </c:pt>
                <c:pt idx="70">
                  <c:v>73</c:v>
                </c:pt>
                <c:pt idx="71">
                  <c:v>73</c:v>
                </c:pt>
                <c:pt idx="72">
                  <c:v>75</c:v>
                </c:pt>
                <c:pt idx="73">
                  <c:v>76</c:v>
                </c:pt>
                <c:pt idx="74">
                  <c:v>77</c:v>
                </c:pt>
                <c:pt idx="75">
                  <c:v>78</c:v>
                </c:pt>
                <c:pt idx="76">
                  <c:v>79</c:v>
                </c:pt>
                <c:pt idx="77">
                  <c:v>79</c:v>
                </c:pt>
                <c:pt idx="78">
                  <c:v>80</c:v>
                </c:pt>
                <c:pt idx="79">
                  <c:v>80</c:v>
                </c:pt>
                <c:pt idx="80">
                  <c:v>81</c:v>
                </c:pt>
                <c:pt idx="81">
                  <c:v>81</c:v>
                </c:pt>
                <c:pt idx="82">
                  <c:v>84</c:v>
                </c:pt>
                <c:pt idx="83">
                  <c:v>85</c:v>
                </c:pt>
                <c:pt idx="84">
                  <c:v>85</c:v>
                </c:pt>
                <c:pt idx="85">
                  <c:v>88</c:v>
                </c:pt>
                <c:pt idx="86">
                  <c:v>89</c:v>
                </c:pt>
                <c:pt idx="87">
                  <c:v>90</c:v>
                </c:pt>
                <c:pt idx="88">
                  <c:v>90</c:v>
                </c:pt>
                <c:pt idx="89">
                  <c:v>91</c:v>
                </c:pt>
                <c:pt idx="90">
                  <c:v>91</c:v>
                </c:pt>
                <c:pt idx="91">
                  <c:v>93</c:v>
                </c:pt>
                <c:pt idx="92">
                  <c:v>93</c:v>
                </c:pt>
                <c:pt idx="93">
                  <c:v>96</c:v>
                </c:pt>
                <c:pt idx="94">
                  <c:v>96</c:v>
                </c:pt>
                <c:pt idx="95">
                  <c:v>97</c:v>
                </c:pt>
                <c:pt idx="96">
                  <c:v>98</c:v>
                </c:pt>
                <c:pt idx="97">
                  <c:v>98</c:v>
                </c:pt>
                <c:pt idx="98">
                  <c:v>99</c:v>
                </c:pt>
                <c:pt idx="99">
                  <c:v>99</c:v>
                </c:pt>
              </c:strCache>
            </c:strRef>
          </c:cat>
          <c:val>
            <c:numRef>
              <c:f>'Pivot Table for Report'!$B$5:$B$105</c:f>
              <c:numCache>
                <c:formatCode>0</c:formatCode>
                <c:ptCount val="100"/>
                <c:pt idx="1">
                  <c:v>6117.3246150839896</c:v>
                </c:pt>
                <c:pt idx="2">
                  <c:v>7888.3565466618702</c:v>
                </c:pt>
                <c:pt idx="7">
                  <c:v>8858.3675710114803</c:v>
                </c:pt>
                <c:pt idx="10">
                  <c:v>8180.3370854254399</c:v>
                </c:pt>
                <c:pt idx="18">
                  <c:v>5910.8853896688897</c:v>
                </c:pt>
                <c:pt idx="29">
                  <c:v>7698.4247656321104</c:v>
                </c:pt>
                <c:pt idx="43">
                  <c:v>8496.1038130898305</c:v>
                </c:pt>
                <c:pt idx="45">
                  <c:v>2100.1297546259302</c:v>
                </c:pt>
                <c:pt idx="50">
                  <c:v>7152.28604943551</c:v>
                </c:pt>
                <c:pt idx="52">
                  <c:v>9692.3180402184298</c:v>
                </c:pt>
                <c:pt idx="58">
                  <c:v>1935.20679350759</c:v>
                </c:pt>
                <c:pt idx="59">
                  <c:v>8318.9031946171708</c:v>
                </c:pt>
                <c:pt idx="60">
                  <c:v>1061.6185230132801</c:v>
                </c:pt>
                <c:pt idx="62">
                  <c:v>5149.9983504080301</c:v>
                </c:pt>
                <c:pt idx="64">
                  <c:v>7517.3632106311197</c:v>
                </c:pt>
                <c:pt idx="70">
                  <c:v>3899.7468337292198</c:v>
                </c:pt>
                <c:pt idx="72">
                  <c:v>9444.7420330629793</c:v>
                </c:pt>
                <c:pt idx="74">
                  <c:v>8684.6130592538502</c:v>
                </c:pt>
                <c:pt idx="76">
                  <c:v>8001.6132065190004</c:v>
                </c:pt>
                <c:pt idx="81">
                  <c:v>2629.39643484526</c:v>
                </c:pt>
                <c:pt idx="82">
                  <c:v>7910.8869161406801</c:v>
                </c:pt>
                <c:pt idx="83">
                  <c:v>7087.0526963574302</c:v>
                </c:pt>
                <c:pt idx="84">
                  <c:v>6541.3293448024597</c:v>
                </c:pt>
                <c:pt idx="88">
                  <c:v>2633.1219813122498</c:v>
                </c:pt>
                <c:pt idx="91">
                  <c:v>2686.4572235759802</c:v>
                </c:pt>
                <c:pt idx="96">
                  <c:v>5924.6825668532301</c:v>
                </c:pt>
              </c:numCache>
            </c:numRef>
          </c:val>
          <c:smooth val="0"/>
          <c:extLst>
            <c:ext xmlns:c16="http://schemas.microsoft.com/office/drawing/2014/chart" uri="{C3380CC4-5D6E-409C-BE32-E72D297353CC}">
              <c16:uniqueId val="{00000001-2291-46BB-A003-7CC4C76DBDFF}"/>
            </c:ext>
          </c:extLst>
        </c:ser>
        <c:ser>
          <c:idx val="1"/>
          <c:order val="1"/>
          <c:tx>
            <c:strRef>
              <c:f>'Pivot Table for Report'!$C$3:$C$4</c:f>
              <c:strCache>
                <c:ptCount val="1"/>
                <c:pt idx="0">
                  <c:v>haircare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'Pivot Table for Report'!$A$5:$A$105</c:f>
              <c:strCache>
                <c:ptCount val="100"/>
                <c:pt idx="0">
                  <c:v>2</c:v>
                </c:pt>
                <c:pt idx="1">
                  <c:v>2</c:v>
                </c:pt>
                <c:pt idx="2">
                  <c:v>3</c:v>
                </c:pt>
                <c:pt idx="3">
                  <c:v>3</c:v>
                </c:pt>
                <c:pt idx="4">
                  <c:v>4</c:v>
                </c:pt>
                <c:pt idx="5">
                  <c:v>4</c:v>
                </c:pt>
                <c:pt idx="6">
                  <c:v>4</c:v>
                </c:pt>
                <c:pt idx="7">
                  <c:v>4</c:v>
                </c:pt>
                <c:pt idx="8">
                  <c:v>5</c:v>
                </c:pt>
                <c:pt idx="9">
                  <c:v>6</c:v>
                </c:pt>
                <c:pt idx="10">
                  <c:v>6</c:v>
                </c:pt>
                <c:pt idx="11">
                  <c:v>8</c:v>
                </c:pt>
                <c:pt idx="12">
                  <c:v>8</c:v>
                </c:pt>
                <c:pt idx="13">
                  <c:v>10</c:v>
                </c:pt>
                <c:pt idx="14">
                  <c:v>11</c:v>
                </c:pt>
                <c:pt idx="15">
                  <c:v>12</c:v>
                </c:pt>
                <c:pt idx="16">
                  <c:v>13</c:v>
                </c:pt>
                <c:pt idx="17">
                  <c:v>14</c:v>
                </c:pt>
                <c:pt idx="18">
                  <c:v>14</c:v>
                </c:pt>
                <c:pt idx="19">
                  <c:v>15</c:v>
                </c:pt>
                <c:pt idx="20">
                  <c:v>16</c:v>
                </c:pt>
                <c:pt idx="21">
                  <c:v>16</c:v>
                </c:pt>
                <c:pt idx="22">
                  <c:v>17</c:v>
                </c:pt>
                <c:pt idx="23">
                  <c:v>17</c:v>
                </c:pt>
                <c:pt idx="24">
                  <c:v>19</c:v>
                </c:pt>
                <c:pt idx="25">
                  <c:v>20</c:v>
                </c:pt>
                <c:pt idx="26">
                  <c:v>20</c:v>
                </c:pt>
                <c:pt idx="27">
                  <c:v>21</c:v>
                </c:pt>
                <c:pt idx="28">
                  <c:v>23</c:v>
                </c:pt>
                <c:pt idx="29">
                  <c:v>24</c:v>
                </c:pt>
                <c:pt idx="30">
                  <c:v>26</c:v>
                </c:pt>
                <c:pt idx="31">
                  <c:v>27</c:v>
                </c:pt>
                <c:pt idx="32">
                  <c:v>27</c:v>
                </c:pt>
                <c:pt idx="33">
                  <c:v>28</c:v>
                </c:pt>
                <c:pt idx="34">
                  <c:v>30</c:v>
                </c:pt>
                <c:pt idx="35">
                  <c:v>31</c:v>
                </c:pt>
                <c:pt idx="36">
                  <c:v>34</c:v>
                </c:pt>
                <c:pt idx="37">
                  <c:v>34</c:v>
                </c:pt>
                <c:pt idx="38">
                  <c:v>36</c:v>
                </c:pt>
                <c:pt idx="39">
                  <c:v>37</c:v>
                </c:pt>
                <c:pt idx="40">
                  <c:v>37</c:v>
                </c:pt>
                <c:pt idx="41">
                  <c:v>38</c:v>
                </c:pt>
                <c:pt idx="42">
                  <c:v>40</c:v>
                </c:pt>
                <c:pt idx="43">
                  <c:v>43</c:v>
                </c:pt>
                <c:pt idx="44">
                  <c:v>47</c:v>
                </c:pt>
                <c:pt idx="45">
                  <c:v>48</c:v>
                </c:pt>
                <c:pt idx="46">
                  <c:v>48</c:v>
                </c:pt>
                <c:pt idx="47">
                  <c:v>49</c:v>
                </c:pt>
                <c:pt idx="48">
                  <c:v>51</c:v>
                </c:pt>
                <c:pt idx="49">
                  <c:v>51</c:v>
                </c:pt>
                <c:pt idx="50">
                  <c:v>51</c:v>
                </c:pt>
                <c:pt idx="51">
                  <c:v>52</c:v>
                </c:pt>
                <c:pt idx="52">
                  <c:v>52</c:v>
                </c:pt>
                <c:pt idx="53">
                  <c:v>55</c:v>
                </c:pt>
                <c:pt idx="54">
                  <c:v>57</c:v>
                </c:pt>
                <c:pt idx="55">
                  <c:v>57</c:v>
                </c:pt>
                <c:pt idx="56">
                  <c:v>60</c:v>
                </c:pt>
                <c:pt idx="57">
                  <c:v>61</c:v>
                </c:pt>
                <c:pt idx="58">
                  <c:v>62</c:v>
                </c:pt>
                <c:pt idx="59">
                  <c:v>63</c:v>
                </c:pt>
                <c:pt idx="60">
                  <c:v>64</c:v>
                </c:pt>
                <c:pt idx="61">
                  <c:v>64</c:v>
                </c:pt>
                <c:pt idx="62">
                  <c:v>65</c:v>
                </c:pt>
                <c:pt idx="63">
                  <c:v>69</c:v>
                </c:pt>
                <c:pt idx="64">
                  <c:v>69</c:v>
                </c:pt>
                <c:pt idx="65">
                  <c:v>69</c:v>
                </c:pt>
                <c:pt idx="66">
                  <c:v>69</c:v>
                </c:pt>
                <c:pt idx="67">
                  <c:v>69</c:v>
                </c:pt>
                <c:pt idx="68">
                  <c:v>70</c:v>
                </c:pt>
                <c:pt idx="69">
                  <c:v>71</c:v>
                </c:pt>
                <c:pt idx="70">
                  <c:v>73</c:v>
                </c:pt>
                <c:pt idx="71">
                  <c:v>73</c:v>
                </c:pt>
                <c:pt idx="72">
                  <c:v>75</c:v>
                </c:pt>
                <c:pt idx="73">
                  <c:v>76</c:v>
                </c:pt>
                <c:pt idx="74">
                  <c:v>77</c:v>
                </c:pt>
                <c:pt idx="75">
                  <c:v>78</c:v>
                </c:pt>
                <c:pt idx="76">
                  <c:v>79</c:v>
                </c:pt>
                <c:pt idx="77">
                  <c:v>79</c:v>
                </c:pt>
                <c:pt idx="78">
                  <c:v>80</c:v>
                </c:pt>
                <c:pt idx="79">
                  <c:v>80</c:v>
                </c:pt>
                <c:pt idx="80">
                  <c:v>81</c:v>
                </c:pt>
                <c:pt idx="81">
                  <c:v>81</c:v>
                </c:pt>
                <c:pt idx="82">
                  <c:v>84</c:v>
                </c:pt>
                <c:pt idx="83">
                  <c:v>85</c:v>
                </c:pt>
                <c:pt idx="84">
                  <c:v>85</c:v>
                </c:pt>
                <c:pt idx="85">
                  <c:v>88</c:v>
                </c:pt>
                <c:pt idx="86">
                  <c:v>89</c:v>
                </c:pt>
                <c:pt idx="87">
                  <c:v>90</c:v>
                </c:pt>
                <c:pt idx="88">
                  <c:v>90</c:v>
                </c:pt>
                <c:pt idx="89">
                  <c:v>91</c:v>
                </c:pt>
                <c:pt idx="90">
                  <c:v>91</c:v>
                </c:pt>
                <c:pt idx="91">
                  <c:v>93</c:v>
                </c:pt>
                <c:pt idx="92">
                  <c:v>93</c:v>
                </c:pt>
                <c:pt idx="93">
                  <c:v>96</c:v>
                </c:pt>
                <c:pt idx="94">
                  <c:v>96</c:v>
                </c:pt>
                <c:pt idx="95">
                  <c:v>97</c:v>
                </c:pt>
                <c:pt idx="96">
                  <c:v>98</c:v>
                </c:pt>
                <c:pt idx="97">
                  <c:v>98</c:v>
                </c:pt>
                <c:pt idx="98">
                  <c:v>99</c:v>
                </c:pt>
                <c:pt idx="99">
                  <c:v>99</c:v>
                </c:pt>
              </c:strCache>
            </c:strRef>
          </c:cat>
          <c:val>
            <c:numRef>
              <c:f>'Pivot Table for Report'!$C$5:$C$105</c:f>
              <c:numCache>
                <c:formatCode>0</c:formatCode>
                <c:ptCount val="100"/>
                <c:pt idx="0">
                  <c:v>2828.3487459757498</c:v>
                </c:pt>
                <c:pt idx="3">
                  <c:v>5709.9452959692799</c:v>
                </c:pt>
                <c:pt idx="4">
                  <c:v>4370.9165799845296</c:v>
                </c:pt>
                <c:pt idx="6">
                  <c:v>9049.0778609398894</c:v>
                </c:pt>
                <c:pt idx="9">
                  <c:v>1292.45841793775</c:v>
                </c:pt>
                <c:pt idx="12">
                  <c:v>2766.3423668660798</c:v>
                </c:pt>
                <c:pt idx="14">
                  <c:v>9577.7496258687297</c:v>
                </c:pt>
                <c:pt idx="15">
                  <c:v>5737.4255991190203</c:v>
                </c:pt>
                <c:pt idx="31">
                  <c:v>9866.4654579796897</c:v>
                </c:pt>
                <c:pt idx="32">
                  <c:v>2556.7673606335902</c:v>
                </c:pt>
                <c:pt idx="33">
                  <c:v>2390.8078665561702</c:v>
                </c:pt>
                <c:pt idx="35">
                  <c:v>6088.0214799408504</c:v>
                </c:pt>
                <c:pt idx="37">
                  <c:v>5267.9568075105199</c:v>
                </c:pt>
                <c:pt idx="38">
                  <c:v>9364.6735050761708</c:v>
                </c:pt>
                <c:pt idx="41">
                  <c:v>3550.21843278099</c:v>
                </c:pt>
                <c:pt idx="42">
                  <c:v>2174.7770543506499</c:v>
                </c:pt>
                <c:pt idx="46">
                  <c:v>7014.8879872033804</c:v>
                </c:pt>
                <c:pt idx="47">
                  <c:v>1605.8669003924001</c:v>
                </c:pt>
                <c:pt idx="51">
                  <c:v>6885.5893508962499</c:v>
                </c:pt>
                <c:pt idx="54">
                  <c:v>7888.7232684270803</c:v>
                </c:pt>
                <c:pt idx="55">
                  <c:v>2483.7601775427902</c:v>
                </c:pt>
                <c:pt idx="63">
                  <c:v>9185.1858291817007</c:v>
                </c:pt>
                <c:pt idx="65">
                  <c:v>2411.7546321104901</c:v>
                </c:pt>
                <c:pt idx="66">
                  <c:v>5328.3759842977497</c:v>
                </c:pt>
                <c:pt idx="67">
                  <c:v>4531.4021336919004</c:v>
                </c:pt>
                <c:pt idx="68">
                  <c:v>8661.9967923923796</c:v>
                </c:pt>
                <c:pt idx="69">
                  <c:v>2873.74144602144</c:v>
                </c:pt>
                <c:pt idx="71">
                  <c:v>4384.4134000458598</c:v>
                </c:pt>
                <c:pt idx="73">
                  <c:v>7397.0710045871801</c:v>
                </c:pt>
                <c:pt idx="75">
                  <c:v>7386.3639440486604</c:v>
                </c:pt>
                <c:pt idx="78">
                  <c:v>2925.6751703038099</c:v>
                </c:pt>
                <c:pt idx="79">
                  <c:v>5133.8467010866898</c:v>
                </c:pt>
                <c:pt idx="86">
                  <c:v>2048.2900998487098</c:v>
                </c:pt>
                <c:pt idx="95">
                  <c:v>3716.49332589403</c:v>
                </c:pt>
              </c:numCache>
            </c:numRef>
          </c:val>
          <c:smooth val="0"/>
          <c:extLst>
            <c:ext xmlns:c16="http://schemas.microsoft.com/office/drawing/2014/chart" uri="{C3380CC4-5D6E-409C-BE32-E72D297353CC}">
              <c16:uniqueId val="{00000003-2291-46BB-A003-7CC4C76DBDFF}"/>
            </c:ext>
          </c:extLst>
        </c:ser>
        <c:ser>
          <c:idx val="2"/>
          <c:order val="2"/>
          <c:tx>
            <c:strRef>
              <c:f>'Pivot Table for Report'!$D$3:$D$4</c:f>
              <c:strCache>
                <c:ptCount val="1"/>
                <c:pt idx="0">
                  <c:v>skincare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cat>
            <c:strRef>
              <c:f>'Pivot Table for Report'!$A$5:$A$105</c:f>
              <c:strCache>
                <c:ptCount val="100"/>
                <c:pt idx="0">
                  <c:v>2</c:v>
                </c:pt>
                <c:pt idx="1">
                  <c:v>2</c:v>
                </c:pt>
                <c:pt idx="2">
                  <c:v>3</c:v>
                </c:pt>
                <c:pt idx="3">
                  <c:v>3</c:v>
                </c:pt>
                <c:pt idx="4">
                  <c:v>4</c:v>
                </c:pt>
                <c:pt idx="5">
                  <c:v>4</c:v>
                </c:pt>
                <c:pt idx="6">
                  <c:v>4</c:v>
                </c:pt>
                <c:pt idx="7">
                  <c:v>4</c:v>
                </c:pt>
                <c:pt idx="8">
                  <c:v>5</c:v>
                </c:pt>
                <c:pt idx="9">
                  <c:v>6</c:v>
                </c:pt>
                <c:pt idx="10">
                  <c:v>6</c:v>
                </c:pt>
                <c:pt idx="11">
                  <c:v>8</c:v>
                </c:pt>
                <c:pt idx="12">
                  <c:v>8</c:v>
                </c:pt>
                <c:pt idx="13">
                  <c:v>10</c:v>
                </c:pt>
                <c:pt idx="14">
                  <c:v>11</c:v>
                </c:pt>
                <c:pt idx="15">
                  <c:v>12</c:v>
                </c:pt>
                <c:pt idx="16">
                  <c:v>13</c:v>
                </c:pt>
                <c:pt idx="17">
                  <c:v>14</c:v>
                </c:pt>
                <c:pt idx="18">
                  <c:v>14</c:v>
                </c:pt>
                <c:pt idx="19">
                  <c:v>15</c:v>
                </c:pt>
                <c:pt idx="20">
                  <c:v>16</c:v>
                </c:pt>
                <c:pt idx="21">
                  <c:v>16</c:v>
                </c:pt>
                <c:pt idx="22">
                  <c:v>17</c:v>
                </c:pt>
                <c:pt idx="23">
                  <c:v>17</c:v>
                </c:pt>
                <c:pt idx="24">
                  <c:v>19</c:v>
                </c:pt>
                <c:pt idx="25">
                  <c:v>20</c:v>
                </c:pt>
                <c:pt idx="26">
                  <c:v>20</c:v>
                </c:pt>
                <c:pt idx="27">
                  <c:v>21</c:v>
                </c:pt>
                <c:pt idx="28">
                  <c:v>23</c:v>
                </c:pt>
                <c:pt idx="29">
                  <c:v>24</c:v>
                </c:pt>
                <c:pt idx="30">
                  <c:v>26</c:v>
                </c:pt>
                <c:pt idx="31">
                  <c:v>27</c:v>
                </c:pt>
                <c:pt idx="32">
                  <c:v>27</c:v>
                </c:pt>
                <c:pt idx="33">
                  <c:v>28</c:v>
                </c:pt>
                <c:pt idx="34">
                  <c:v>30</c:v>
                </c:pt>
                <c:pt idx="35">
                  <c:v>31</c:v>
                </c:pt>
                <c:pt idx="36">
                  <c:v>34</c:v>
                </c:pt>
                <c:pt idx="37">
                  <c:v>34</c:v>
                </c:pt>
                <c:pt idx="38">
                  <c:v>36</c:v>
                </c:pt>
                <c:pt idx="39">
                  <c:v>37</c:v>
                </c:pt>
                <c:pt idx="40">
                  <c:v>37</c:v>
                </c:pt>
                <c:pt idx="41">
                  <c:v>38</c:v>
                </c:pt>
                <c:pt idx="42">
                  <c:v>40</c:v>
                </c:pt>
                <c:pt idx="43">
                  <c:v>43</c:v>
                </c:pt>
                <c:pt idx="44">
                  <c:v>47</c:v>
                </c:pt>
                <c:pt idx="45">
                  <c:v>48</c:v>
                </c:pt>
                <c:pt idx="46">
                  <c:v>48</c:v>
                </c:pt>
                <c:pt idx="47">
                  <c:v>49</c:v>
                </c:pt>
                <c:pt idx="48">
                  <c:v>51</c:v>
                </c:pt>
                <c:pt idx="49">
                  <c:v>51</c:v>
                </c:pt>
                <c:pt idx="50">
                  <c:v>51</c:v>
                </c:pt>
                <c:pt idx="51">
                  <c:v>52</c:v>
                </c:pt>
                <c:pt idx="52">
                  <c:v>52</c:v>
                </c:pt>
                <c:pt idx="53">
                  <c:v>55</c:v>
                </c:pt>
                <c:pt idx="54">
                  <c:v>57</c:v>
                </c:pt>
                <c:pt idx="55">
                  <c:v>57</c:v>
                </c:pt>
                <c:pt idx="56">
                  <c:v>60</c:v>
                </c:pt>
                <c:pt idx="57">
                  <c:v>61</c:v>
                </c:pt>
                <c:pt idx="58">
                  <c:v>62</c:v>
                </c:pt>
                <c:pt idx="59">
                  <c:v>63</c:v>
                </c:pt>
                <c:pt idx="60">
                  <c:v>64</c:v>
                </c:pt>
                <c:pt idx="61">
                  <c:v>64</c:v>
                </c:pt>
                <c:pt idx="62">
                  <c:v>65</c:v>
                </c:pt>
                <c:pt idx="63">
                  <c:v>69</c:v>
                </c:pt>
                <c:pt idx="64">
                  <c:v>69</c:v>
                </c:pt>
                <c:pt idx="65">
                  <c:v>69</c:v>
                </c:pt>
                <c:pt idx="66">
                  <c:v>69</c:v>
                </c:pt>
                <c:pt idx="67">
                  <c:v>69</c:v>
                </c:pt>
                <c:pt idx="68">
                  <c:v>70</c:v>
                </c:pt>
                <c:pt idx="69">
                  <c:v>71</c:v>
                </c:pt>
                <c:pt idx="70">
                  <c:v>73</c:v>
                </c:pt>
                <c:pt idx="71">
                  <c:v>73</c:v>
                </c:pt>
                <c:pt idx="72">
                  <c:v>75</c:v>
                </c:pt>
                <c:pt idx="73">
                  <c:v>76</c:v>
                </c:pt>
                <c:pt idx="74">
                  <c:v>77</c:v>
                </c:pt>
                <c:pt idx="75">
                  <c:v>78</c:v>
                </c:pt>
                <c:pt idx="76">
                  <c:v>79</c:v>
                </c:pt>
                <c:pt idx="77">
                  <c:v>79</c:v>
                </c:pt>
                <c:pt idx="78">
                  <c:v>80</c:v>
                </c:pt>
                <c:pt idx="79">
                  <c:v>80</c:v>
                </c:pt>
                <c:pt idx="80">
                  <c:v>81</c:v>
                </c:pt>
                <c:pt idx="81">
                  <c:v>81</c:v>
                </c:pt>
                <c:pt idx="82">
                  <c:v>84</c:v>
                </c:pt>
                <c:pt idx="83">
                  <c:v>85</c:v>
                </c:pt>
                <c:pt idx="84">
                  <c:v>85</c:v>
                </c:pt>
                <c:pt idx="85">
                  <c:v>88</c:v>
                </c:pt>
                <c:pt idx="86">
                  <c:v>89</c:v>
                </c:pt>
                <c:pt idx="87">
                  <c:v>90</c:v>
                </c:pt>
                <c:pt idx="88">
                  <c:v>90</c:v>
                </c:pt>
                <c:pt idx="89">
                  <c:v>91</c:v>
                </c:pt>
                <c:pt idx="90">
                  <c:v>91</c:v>
                </c:pt>
                <c:pt idx="91">
                  <c:v>93</c:v>
                </c:pt>
                <c:pt idx="92">
                  <c:v>93</c:v>
                </c:pt>
                <c:pt idx="93">
                  <c:v>96</c:v>
                </c:pt>
                <c:pt idx="94">
                  <c:v>96</c:v>
                </c:pt>
                <c:pt idx="95">
                  <c:v>97</c:v>
                </c:pt>
                <c:pt idx="96">
                  <c:v>98</c:v>
                </c:pt>
                <c:pt idx="97">
                  <c:v>98</c:v>
                </c:pt>
                <c:pt idx="98">
                  <c:v>99</c:v>
                </c:pt>
                <c:pt idx="99">
                  <c:v>99</c:v>
                </c:pt>
              </c:strCache>
            </c:strRef>
          </c:cat>
          <c:val>
            <c:numRef>
              <c:f>'Pivot Table for Report'!$D$5:$D$105</c:f>
              <c:numCache>
                <c:formatCode>0</c:formatCode>
                <c:ptCount val="100"/>
                <c:pt idx="5">
                  <c:v>7823.4765595317303</c:v>
                </c:pt>
                <c:pt idx="8">
                  <c:v>2686.50515156744</c:v>
                </c:pt>
                <c:pt idx="11">
                  <c:v>6453.7979681762799</c:v>
                </c:pt>
                <c:pt idx="13">
                  <c:v>7573.4024578487297</c:v>
                </c:pt>
                <c:pt idx="16">
                  <c:v>4256.9491408502199</c:v>
                </c:pt>
                <c:pt idx="17">
                  <c:v>9592.6335702803099</c:v>
                </c:pt>
                <c:pt idx="19">
                  <c:v>7460.9000654458396</c:v>
                </c:pt>
                <c:pt idx="20">
                  <c:v>2330.9658020919401</c:v>
                </c:pt>
                <c:pt idx="21">
                  <c:v>4052.7384162378598</c:v>
                </c:pt>
                <c:pt idx="22">
                  <c:v>8864.0843495864301</c:v>
                </c:pt>
                <c:pt idx="23">
                  <c:v>2943.3818676094502</c:v>
                </c:pt>
                <c:pt idx="24">
                  <c:v>1912.4656631007599</c:v>
                </c:pt>
                <c:pt idx="25">
                  <c:v>8525.9525596835192</c:v>
                </c:pt>
                <c:pt idx="26">
                  <c:v>1229.59102856498</c:v>
                </c:pt>
                <c:pt idx="27">
                  <c:v>4767.0204843441297</c:v>
                </c:pt>
                <c:pt idx="28">
                  <c:v>2438.3399304700201</c:v>
                </c:pt>
                <c:pt idx="30">
                  <c:v>8367.7216180201503</c:v>
                </c:pt>
                <c:pt idx="34">
                  <c:v>8232.3348294258194</c:v>
                </c:pt>
                <c:pt idx="36">
                  <c:v>8354.5796864819895</c:v>
                </c:pt>
                <c:pt idx="39">
                  <c:v>5442.0867853976697</c:v>
                </c:pt>
                <c:pt idx="40">
                  <c:v>9061.7108955077201</c:v>
                </c:pt>
                <c:pt idx="44">
                  <c:v>1839.60942585676</c:v>
                </c:pt>
                <c:pt idx="48">
                  <c:v>9655.1351027193905</c:v>
                </c:pt>
                <c:pt idx="49">
                  <c:v>2553.4955849912099</c:v>
                </c:pt>
                <c:pt idx="53">
                  <c:v>1752.3810874841199</c:v>
                </c:pt>
                <c:pt idx="56">
                  <c:v>2021.1498103371</c:v>
                </c:pt>
                <c:pt idx="57">
                  <c:v>7766.8364256852301</c:v>
                </c:pt>
                <c:pt idx="61">
                  <c:v>4971.1459875855498</c:v>
                </c:pt>
                <c:pt idx="77">
                  <c:v>9571.5504873278096</c:v>
                </c:pt>
                <c:pt idx="80">
                  <c:v>5724.9593504562599</c:v>
                </c:pt>
                <c:pt idx="85">
                  <c:v>9473.7980325083299</c:v>
                </c:pt>
                <c:pt idx="87">
                  <c:v>8458.7308783671706</c:v>
                </c:pt>
                <c:pt idx="89">
                  <c:v>6099.9441155814502</c:v>
                </c:pt>
                <c:pt idx="90">
                  <c:v>8651.67268298206</c:v>
                </c:pt>
                <c:pt idx="92">
                  <c:v>1889.07358977933</c:v>
                </c:pt>
                <c:pt idx="93">
                  <c:v>7089.4742499341801</c:v>
                </c:pt>
                <c:pt idx="94">
                  <c:v>8128.0276968511898</c:v>
                </c:pt>
                <c:pt idx="97">
                  <c:v>9435.7626089121295</c:v>
                </c:pt>
                <c:pt idx="98">
                  <c:v>5521.2052590109697</c:v>
                </c:pt>
                <c:pt idx="99">
                  <c:v>8653.5709264697998</c:v>
                </c:pt>
              </c:numCache>
            </c:numRef>
          </c:val>
          <c:smooth val="0"/>
          <c:extLst>
            <c:ext xmlns:c16="http://schemas.microsoft.com/office/drawing/2014/chart" uri="{C3380CC4-5D6E-409C-BE32-E72D297353CC}">
              <c16:uniqueId val="{00000005-2291-46BB-A003-7CC4C76DBDFF}"/>
            </c:ext>
          </c:extLst>
        </c:ser>
        <c:dLbls>
          <c:showLegendKey val="0"/>
          <c:showVal val="0"/>
          <c:showCatName val="0"/>
          <c:showSerName val="0"/>
          <c:showPercent val="0"/>
          <c:showBubbleSize val="0"/>
        </c:dLbls>
        <c:marker val="1"/>
        <c:smooth val="0"/>
        <c:axId val="741512952"/>
        <c:axId val="741513344"/>
      </c:lineChart>
      <c:catAx>
        <c:axId val="74151295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741513344"/>
        <c:crosses val="autoZero"/>
        <c:auto val="1"/>
        <c:lblAlgn val="ctr"/>
        <c:lblOffset val="100"/>
        <c:noMultiLvlLbl val="0"/>
      </c:catAx>
      <c:valAx>
        <c:axId val="741513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Generated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12952"/>
        <c:crosses val="autoZero"/>
        <c:crossBetween val="between"/>
        <c:dispUnits>
          <c:builtInUnit val="thousands"/>
          <c:dispUnitsLbl>
            <c:layout>
              <c:manualLayout>
                <c:xMode val="edge"/>
                <c:yMode val="edge"/>
                <c:x val="2.371837578192541E-2"/>
                <c:y val="0.397705896206952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legendEntry>
        <c:idx val="0"/>
        <c:delete val="1"/>
      </c:legendEntry>
      <c:legendEntry>
        <c:idx val="1"/>
        <c:delete val="1"/>
      </c:legendEntry>
      <c:legendEntry>
        <c:idx val="2"/>
        <c:delete val="1"/>
      </c:legendEntry>
      <c:overlay val="0"/>
      <c:spPr>
        <a:noFill/>
        <a:ln cmpd="sng">
          <a:solidFill>
            <a:schemeClr val="accent2">
              <a:lumMod val="7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[Operations_LeadTime_Analysis report.xlsx]Pivot Table for Report!Sales by Product Type</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 Type</a:t>
            </a:r>
          </a:p>
        </c:rich>
      </c:tx>
      <c:layout>
        <c:manualLayout>
          <c:xMode val="edge"/>
          <c:yMode val="edge"/>
          <c:x val="3.147222222222221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s>
    <c:plotArea>
      <c:layout>
        <c:manualLayout>
          <c:layoutTarget val="inner"/>
          <c:xMode val="edge"/>
          <c:yMode val="edge"/>
          <c:x val="0.22194028871391075"/>
          <c:y val="0.11092300962379703"/>
          <c:w val="0.50047572178477695"/>
          <c:h val="0.83412620297462814"/>
        </c:manualLayout>
      </c:layout>
      <c:doughnutChart>
        <c:varyColors val="1"/>
        <c:ser>
          <c:idx val="0"/>
          <c:order val="0"/>
          <c:tx>
            <c:strRef>
              <c:f>'Pivot Table for Report'!$B$108</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C3B8-4BE5-AC7F-B483131BE5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B8-4BE5-AC7F-B483131BE54A}"/>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C3B8-4BE5-AC7F-B483131BE5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for Report'!$A$109:$A$112</c:f>
              <c:strCache>
                <c:ptCount val="3"/>
                <c:pt idx="0">
                  <c:v>cosmetics</c:v>
                </c:pt>
                <c:pt idx="1">
                  <c:v>haircare</c:v>
                </c:pt>
                <c:pt idx="2">
                  <c:v>skincare</c:v>
                </c:pt>
              </c:strCache>
            </c:strRef>
          </c:cat>
          <c:val>
            <c:numRef>
              <c:f>'Pivot Table for Report'!$B$109:$B$112</c:f>
              <c:numCache>
                <c:formatCode>0.00%</c:formatCode>
                <c:ptCount val="3"/>
                <c:pt idx="0">
                  <c:v>0.25503807024013536</c:v>
                </c:pt>
                <c:pt idx="1">
                  <c:v>0.29525586238313195</c:v>
                </c:pt>
                <c:pt idx="2">
                  <c:v>0.44970606737673269</c:v>
                </c:pt>
              </c:numCache>
            </c:numRef>
          </c:val>
          <c:extLst>
            <c:ext xmlns:c16="http://schemas.microsoft.com/office/drawing/2014/chart" uri="{C3380CC4-5D6E-409C-BE32-E72D297353CC}">
              <c16:uniqueId val="{00000006-C3B8-4BE5-AC7F-B483131BE54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[Operations_LeadTime_Analysis report.xlsx]Pivot Table for Report!Total Revenue by Shipping Carrier</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Shipping Carrier</a:t>
            </a:r>
          </a:p>
        </c:rich>
      </c:tx>
      <c:layout>
        <c:manualLayout>
          <c:xMode val="edge"/>
          <c:yMode val="edge"/>
          <c:x val="1.857633420822395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Report'!$B$122</c:f>
              <c:strCache>
                <c:ptCount val="1"/>
                <c:pt idx="0">
                  <c:v>Total</c:v>
                </c:pt>
              </c:strCache>
            </c:strRef>
          </c:tx>
          <c:spPr>
            <a:solidFill>
              <a:schemeClr val="accent2"/>
            </a:solidFill>
            <a:ln>
              <a:noFill/>
            </a:ln>
            <a:effectLst/>
          </c:spPr>
          <c:invertIfNegative val="0"/>
          <c:cat>
            <c:strRef>
              <c:f>'Pivot Table for Report'!$A$123:$A$126</c:f>
              <c:strCache>
                <c:ptCount val="3"/>
                <c:pt idx="0">
                  <c:v>Carrier A</c:v>
                </c:pt>
                <c:pt idx="1">
                  <c:v>Carrier B</c:v>
                </c:pt>
                <c:pt idx="2">
                  <c:v>Carrier C</c:v>
                </c:pt>
              </c:strCache>
            </c:strRef>
          </c:cat>
          <c:val>
            <c:numRef>
              <c:f>'Pivot Table for Report'!$B$123:$B$126</c:f>
              <c:numCache>
                <c:formatCode>_(* #,##0_);_(* \(#,##0\);_(* "-"??_);_(@_)</c:formatCode>
                <c:ptCount val="3"/>
                <c:pt idx="0">
                  <c:v>142629.99460668507</c:v>
                </c:pt>
                <c:pt idx="1">
                  <c:v>250094.64698794941</c:v>
                </c:pt>
                <c:pt idx="2">
                  <c:v>184880.17714337376</c:v>
                </c:pt>
              </c:numCache>
            </c:numRef>
          </c:val>
          <c:extLst>
            <c:ext xmlns:c16="http://schemas.microsoft.com/office/drawing/2014/chart" uri="{C3380CC4-5D6E-409C-BE32-E72D297353CC}">
              <c16:uniqueId val="{00000000-8984-4587-B56C-D5B75181F8B3}"/>
            </c:ext>
          </c:extLst>
        </c:ser>
        <c:dLbls>
          <c:showLegendKey val="0"/>
          <c:showVal val="0"/>
          <c:showCatName val="0"/>
          <c:showSerName val="0"/>
          <c:showPercent val="0"/>
          <c:showBubbleSize val="0"/>
        </c:dLbls>
        <c:gapWidth val="219"/>
        <c:overlap val="-27"/>
        <c:axId val="741515304"/>
        <c:axId val="741513736"/>
      </c:barChart>
      <c:catAx>
        <c:axId val="741515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Shipping</a:t>
                </a:r>
                <a:r>
                  <a:rPr lang="en-US" baseline="0"/>
                  <a:t> Carrier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13736"/>
        <c:crosses val="autoZero"/>
        <c:auto val="1"/>
        <c:lblAlgn val="ctr"/>
        <c:lblOffset val="100"/>
        <c:noMultiLvlLbl val="0"/>
      </c:catAx>
      <c:valAx>
        <c:axId val="741513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Generated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15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[Operations_LeadTime_Analysis report.xlsx]Pivot Table for Report!Revenue Generated by SKU</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Generated by SKU</a:t>
            </a:r>
          </a:p>
        </c:rich>
      </c:tx>
      <c:layout>
        <c:manualLayout>
          <c:xMode val="edge"/>
          <c:yMode val="edge"/>
          <c:x val="4.0264198693112659E-2"/>
          <c:y val="2.34295585096340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Report'!$B$146</c:f>
              <c:strCache>
                <c:ptCount val="1"/>
                <c:pt idx="0">
                  <c:v>Total</c:v>
                </c:pt>
              </c:strCache>
            </c:strRef>
          </c:tx>
          <c:spPr>
            <a:ln w="28575" cap="rnd">
              <a:solidFill>
                <a:schemeClr val="accent2"/>
              </a:solidFill>
              <a:round/>
            </a:ln>
            <a:effectLst/>
          </c:spPr>
          <c:marker>
            <c:symbol val="none"/>
          </c:marker>
          <c:cat>
            <c:strRef>
              <c:f>'Pivot Table for Report'!$A$147:$A$247</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'Pivot Table for Report'!$B$147:$B$247</c:f>
              <c:numCache>
                <c:formatCode>0</c:formatCode>
                <c:ptCount val="100"/>
                <c:pt idx="0">
                  <c:v>8661.9967923923796</c:v>
                </c:pt>
                <c:pt idx="1">
                  <c:v>7460.9000654458396</c:v>
                </c:pt>
                <c:pt idx="2">
                  <c:v>2330.9658020919401</c:v>
                </c:pt>
                <c:pt idx="3">
                  <c:v>6099.9441155814502</c:v>
                </c:pt>
                <c:pt idx="4">
                  <c:v>2873.74144602144</c:v>
                </c:pt>
                <c:pt idx="5">
                  <c:v>4052.7384162378598</c:v>
                </c:pt>
                <c:pt idx="6">
                  <c:v>8653.5709264697998</c:v>
                </c:pt>
                <c:pt idx="7">
                  <c:v>5442.0867853976697</c:v>
                </c:pt>
                <c:pt idx="8">
                  <c:v>6453.7979681762799</c:v>
                </c:pt>
                <c:pt idx="9">
                  <c:v>2629.39643484526</c:v>
                </c:pt>
                <c:pt idx="10">
                  <c:v>9364.6735050761708</c:v>
                </c:pt>
                <c:pt idx="11">
                  <c:v>2553.4955849912099</c:v>
                </c:pt>
                <c:pt idx="12">
                  <c:v>9577.7496258687297</c:v>
                </c:pt>
                <c:pt idx="13">
                  <c:v>8128.0276968511898</c:v>
                </c:pt>
                <c:pt idx="14">
                  <c:v>7087.0526963574302</c:v>
                </c:pt>
                <c:pt idx="15">
                  <c:v>2390.8078665561702</c:v>
                </c:pt>
                <c:pt idx="16">
                  <c:v>8858.3675710114803</c:v>
                </c:pt>
                <c:pt idx="17">
                  <c:v>9049.0778609398894</c:v>
                </c:pt>
                <c:pt idx="18">
                  <c:v>2174.7770543506499</c:v>
                </c:pt>
                <c:pt idx="19">
                  <c:v>3716.49332589403</c:v>
                </c:pt>
                <c:pt idx="20">
                  <c:v>2686.4572235759802</c:v>
                </c:pt>
                <c:pt idx="21">
                  <c:v>6117.3246150839896</c:v>
                </c:pt>
                <c:pt idx="22">
                  <c:v>8318.9031946171708</c:v>
                </c:pt>
                <c:pt idx="23">
                  <c:v>7766.8364256852301</c:v>
                </c:pt>
                <c:pt idx="24">
                  <c:v>2766.3423668660798</c:v>
                </c:pt>
                <c:pt idx="25">
                  <c:v>9655.1351027193905</c:v>
                </c:pt>
                <c:pt idx="26">
                  <c:v>9571.5504873278096</c:v>
                </c:pt>
                <c:pt idx="27">
                  <c:v>5149.9983504080301</c:v>
                </c:pt>
                <c:pt idx="28">
                  <c:v>9061.7108955077201</c:v>
                </c:pt>
                <c:pt idx="29">
                  <c:v>6541.3293448024597</c:v>
                </c:pt>
                <c:pt idx="30">
                  <c:v>7573.4024578487297</c:v>
                </c:pt>
                <c:pt idx="31">
                  <c:v>2438.3399304700201</c:v>
                </c:pt>
                <c:pt idx="32">
                  <c:v>9692.3180402184298</c:v>
                </c:pt>
                <c:pt idx="33">
                  <c:v>1912.4656631007599</c:v>
                </c:pt>
                <c:pt idx="34">
                  <c:v>2686.50515156744</c:v>
                </c:pt>
                <c:pt idx="35">
                  <c:v>5724.9593504562599</c:v>
                </c:pt>
                <c:pt idx="36">
                  <c:v>5521.2052590109697</c:v>
                </c:pt>
                <c:pt idx="37">
                  <c:v>1839.60942585676</c:v>
                </c:pt>
                <c:pt idx="38">
                  <c:v>5737.4255991190203</c:v>
                </c:pt>
                <c:pt idx="39">
                  <c:v>7152.28604943551</c:v>
                </c:pt>
                <c:pt idx="40">
                  <c:v>5267.9568075105199</c:v>
                </c:pt>
                <c:pt idx="41">
                  <c:v>2556.7673606335902</c:v>
                </c:pt>
                <c:pt idx="42">
                  <c:v>7089.4742499341801</c:v>
                </c:pt>
                <c:pt idx="43">
                  <c:v>7397.0710045871801</c:v>
                </c:pt>
                <c:pt idx="44">
                  <c:v>8001.6132065190004</c:v>
                </c:pt>
                <c:pt idx="45">
                  <c:v>2828.3487459757498</c:v>
                </c:pt>
                <c:pt idx="46">
                  <c:v>5910.8853896688897</c:v>
                </c:pt>
                <c:pt idx="47">
                  <c:v>9866.4654579796897</c:v>
                </c:pt>
                <c:pt idx="48">
                  <c:v>9435.7626089121295</c:v>
                </c:pt>
                <c:pt idx="49">
                  <c:v>8232.3348294258194</c:v>
                </c:pt>
                <c:pt idx="50">
                  <c:v>6088.0214799408504</c:v>
                </c:pt>
                <c:pt idx="51">
                  <c:v>2925.6751703038099</c:v>
                </c:pt>
                <c:pt idx="52">
                  <c:v>4767.0204843441297</c:v>
                </c:pt>
                <c:pt idx="53">
                  <c:v>1605.8669003924001</c:v>
                </c:pt>
                <c:pt idx="54">
                  <c:v>2021.1498103371</c:v>
                </c:pt>
                <c:pt idx="55">
                  <c:v>1061.6185230132801</c:v>
                </c:pt>
                <c:pt idx="56">
                  <c:v>7823.4765595317303</c:v>
                </c:pt>
                <c:pt idx="57">
                  <c:v>8864.0843495864301</c:v>
                </c:pt>
                <c:pt idx="58">
                  <c:v>6885.5893508962499</c:v>
                </c:pt>
                <c:pt idx="59">
                  <c:v>3899.7468337292198</c:v>
                </c:pt>
                <c:pt idx="60">
                  <c:v>4256.9491408502199</c:v>
                </c:pt>
                <c:pt idx="61">
                  <c:v>8458.7308783671706</c:v>
                </c:pt>
                <c:pt idx="62">
                  <c:v>8354.5796864819895</c:v>
                </c:pt>
                <c:pt idx="63">
                  <c:v>8367.7216180201503</c:v>
                </c:pt>
                <c:pt idx="64">
                  <c:v>9473.7980325083299</c:v>
                </c:pt>
                <c:pt idx="65">
                  <c:v>3550.21843278099</c:v>
                </c:pt>
                <c:pt idx="66">
                  <c:v>1752.3810874841199</c:v>
                </c:pt>
                <c:pt idx="67">
                  <c:v>8496.1038130898305</c:v>
                </c:pt>
                <c:pt idx="68">
                  <c:v>7014.8879872033804</c:v>
                </c:pt>
                <c:pt idx="69">
                  <c:v>8180.3370854254399</c:v>
                </c:pt>
                <c:pt idx="70">
                  <c:v>2633.1219813122498</c:v>
                </c:pt>
                <c:pt idx="71">
                  <c:v>7910.8869161406801</c:v>
                </c:pt>
                <c:pt idx="72">
                  <c:v>5709.9452959692799</c:v>
                </c:pt>
                <c:pt idx="73">
                  <c:v>1889.07358977933</c:v>
                </c:pt>
                <c:pt idx="74">
                  <c:v>5328.3759842977497</c:v>
                </c:pt>
                <c:pt idx="75">
                  <c:v>2483.7601775427902</c:v>
                </c:pt>
                <c:pt idx="76">
                  <c:v>1292.45841793775</c:v>
                </c:pt>
                <c:pt idx="77">
                  <c:v>7888.7232684270803</c:v>
                </c:pt>
                <c:pt idx="78">
                  <c:v>7517.3632106311197</c:v>
                </c:pt>
                <c:pt idx="79">
                  <c:v>8651.67268298206</c:v>
                </c:pt>
                <c:pt idx="80">
                  <c:v>4384.4134000458598</c:v>
                </c:pt>
                <c:pt idx="81">
                  <c:v>2943.3818676094502</c:v>
                </c:pt>
                <c:pt idx="82">
                  <c:v>2411.7546321104901</c:v>
                </c:pt>
                <c:pt idx="83">
                  <c:v>2048.2900998487098</c:v>
                </c:pt>
                <c:pt idx="84">
                  <c:v>8684.6130592538502</c:v>
                </c:pt>
                <c:pt idx="85">
                  <c:v>1229.59102856498</c:v>
                </c:pt>
                <c:pt idx="86">
                  <c:v>5133.8467010866898</c:v>
                </c:pt>
                <c:pt idx="87">
                  <c:v>9444.7420330629793</c:v>
                </c:pt>
                <c:pt idx="88">
                  <c:v>5924.6825668532301</c:v>
                </c:pt>
                <c:pt idx="89">
                  <c:v>4971.1459875855498</c:v>
                </c:pt>
                <c:pt idx="90">
                  <c:v>9592.6335702803099</c:v>
                </c:pt>
                <c:pt idx="91">
                  <c:v>1935.20679350759</c:v>
                </c:pt>
                <c:pt idx="92">
                  <c:v>2100.1297546259302</c:v>
                </c:pt>
                <c:pt idx="93">
                  <c:v>4531.4021336919004</c:v>
                </c:pt>
                <c:pt idx="94">
                  <c:v>7888.3565466618702</c:v>
                </c:pt>
                <c:pt idx="95">
                  <c:v>7386.3639440486604</c:v>
                </c:pt>
                <c:pt idx="96">
                  <c:v>7698.4247656321104</c:v>
                </c:pt>
                <c:pt idx="97">
                  <c:v>4370.9165799845296</c:v>
                </c:pt>
                <c:pt idx="98">
                  <c:v>8525.9525596835192</c:v>
                </c:pt>
                <c:pt idx="99">
                  <c:v>9185.1858291817007</c:v>
                </c:pt>
              </c:numCache>
            </c:numRef>
          </c:val>
          <c:smooth val="0"/>
          <c:extLst>
            <c:ext xmlns:c16="http://schemas.microsoft.com/office/drawing/2014/chart" uri="{C3380CC4-5D6E-409C-BE32-E72D297353CC}">
              <c16:uniqueId val="{00000000-598C-4A36-999A-EE93F0FE468D}"/>
            </c:ext>
          </c:extLst>
        </c:ser>
        <c:dLbls>
          <c:showLegendKey val="0"/>
          <c:showVal val="0"/>
          <c:showCatName val="0"/>
          <c:showSerName val="0"/>
          <c:showPercent val="0"/>
          <c:showBubbleSize val="0"/>
        </c:dLbls>
        <c:smooth val="0"/>
        <c:axId val="741509032"/>
        <c:axId val="741514520"/>
      </c:lineChart>
      <c:catAx>
        <c:axId val="741509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14520"/>
        <c:crosses val="autoZero"/>
        <c:auto val="1"/>
        <c:lblAlgn val="ctr"/>
        <c:lblOffset val="100"/>
        <c:noMultiLvlLbl val="0"/>
      </c:catAx>
      <c:valAx>
        <c:axId val="7415145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Genrated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09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[Operations_LeadTime_Analysis report.xlsx]Pivot Table for Report!Stock level by sku</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Levels by SKU</a:t>
            </a:r>
          </a:p>
        </c:rich>
      </c:tx>
      <c:layout>
        <c:manualLayout>
          <c:xMode val="edge"/>
          <c:yMode val="edge"/>
          <c:x val="2.098600174978126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for Report'!$B$251</c:f>
              <c:strCache>
                <c:ptCount val="1"/>
                <c:pt idx="0">
                  <c:v>Total</c:v>
                </c:pt>
              </c:strCache>
            </c:strRef>
          </c:tx>
          <c:spPr>
            <a:ln w="28575" cap="rnd">
              <a:solidFill>
                <a:schemeClr val="accent2"/>
              </a:solidFill>
              <a:round/>
            </a:ln>
            <a:effectLst/>
          </c:spPr>
          <c:marker>
            <c:symbol val="none"/>
          </c:marker>
          <c:cat>
            <c:strRef>
              <c:f>'Pivot Table for Report'!$A$252:$A$352</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'Pivot Table for Report'!$B$252:$B$352</c:f>
              <c:numCache>
                <c:formatCode>0</c:formatCode>
                <c:ptCount val="100"/>
                <c:pt idx="0">
                  <c:v>58</c:v>
                </c:pt>
                <c:pt idx="1">
                  <c:v>53</c:v>
                </c:pt>
                <c:pt idx="2">
                  <c:v>51</c:v>
                </c:pt>
                <c:pt idx="3">
                  <c:v>46</c:v>
                </c:pt>
                <c:pt idx="4">
                  <c:v>100</c:v>
                </c:pt>
                <c:pt idx="5">
                  <c:v>80</c:v>
                </c:pt>
                <c:pt idx="6">
                  <c:v>54</c:v>
                </c:pt>
                <c:pt idx="7">
                  <c:v>9</c:v>
                </c:pt>
                <c:pt idx="8">
                  <c:v>2</c:v>
                </c:pt>
                <c:pt idx="9">
                  <c:v>45</c:v>
                </c:pt>
                <c:pt idx="10">
                  <c:v>10</c:v>
                </c:pt>
                <c:pt idx="11">
                  <c:v>48</c:v>
                </c:pt>
                <c:pt idx="12">
                  <c:v>1</c:v>
                </c:pt>
                <c:pt idx="13">
                  <c:v>27</c:v>
                </c:pt>
                <c:pt idx="14">
                  <c:v>69</c:v>
                </c:pt>
                <c:pt idx="15">
                  <c:v>71</c:v>
                </c:pt>
                <c:pt idx="16">
                  <c:v>84</c:v>
                </c:pt>
                <c:pt idx="17">
                  <c:v>4</c:v>
                </c:pt>
                <c:pt idx="18">
                  <c:v>82</c:v>
                </c:pt>
                <c:pt idx="19">
                  <c:v>59</c:v>
                </c:pt>
                <c:pt idx="20">
                  <c:v>47</c:v>
                </c:pt>
                <c:pt idx="21">
                  <c:v>48</c:v>
                </c:pt>
                <c:pt idx="22">
                  <c:v>45</c:v>
                </c:pt>
                <c:pt idx="23">
                  <c:v>23</c:v>
                </c:pt>
                <c:pt idx="24">
                  <c:v>60</c:v>
                </c:pt>
                <c:pt idx="25">
                  <c:v>6</c:v>
                </c:pt>
                <c:pt idx="26">
                  <c:v>89</c:v>
                </c:pt>
                <c:pt idx="27">
                  <c:v>4</c:v>
                </c:pt>
                <c:pt idx="28">
                  <c:v>1</c:v>
                </c:pt>
                <c:pt idx="29">
                  <c:v>42</c:v>
                </c:pt>
                <c:pt idx="30">
                  <c:v>18</c:v>
                </c:pt>
                <c:pt idx="31">
                  <c:v>25</c:v>
                </c:pt>
                <c:pt idx="32">
                  <c:v>69</c:v>
                </c:pt>
                <c:pt idx="33">
                  <c:v>78</c:v>
                </c:pt>
                <c:pt idx="34">
                  <c:v>5</c:v>
                </c:pt>
                <c:pt idx="35">
                  <c:v>90</c:v>
                </c:pt>
                <c:pt idx="36">
                  <c:v>64</c:v>
                </c:pt>
                <c:pt idx="37">
                  <c:v>22</c:v>
                </c:pt>
                <c:pt idx="38">
                  <c:v>36</c:v>
                </c:pt>
                <c:pt idx="39">
                  <c:v>13</c:v>
                </c:pt>
                <c:pt idx="40">
                  <c:v>93</c:v>
                </c:pt>
                <c:pt idx="41">
                  <c:v>92</c:v>
                </c:pt>
                <c:pt idx="42">
                  <c:v>4</c:v>
                </c:pt>
                <c:pt idx="43">
                  <c:v>30</c:v>
                </c:pt>
                <c:pt idx="44">
                  <c:v>97</c:v>
                </c:pt>
                <c:pt idx="45">
                  <c:v>90</c:v>
                </c:pt>
                <c:pt idx="46">
                  <c:v>31</c:v>
                </c:pt>
                <c:pt idx="47">
                  <c:v>100</c:v>
                </c:pt>
                <c:pt idx="48">
                  <c:v>64</c:v>
                </c:pt>
                <c:pt idx="49">
                  <c:v>96</c:v>
                </c:pt>
                <c:pt idx="50">
                  <c:v>33</c:v>
                </c:pt>
                <c:pt idx="51">
                  <c:v>97</c:v>
                </c:pt>
                <c:pt idx="52">
                  <c:v>25</c:v>
                </c:pt>
                <c:pt idx="53">
                  <c:v>5</c:v>
                </c:pt>
                <c:pt idx="54">
                  <c:v>10</c:v>
                </c:pt>
                <c:pt idx="55">
                  <c:v>100</c:v>
                </c:pt>
                <c:pt idx="56">
                  <c:v>11</c:v>
                </c:pt>
                <c:pt idx="57">
                  <c:v>41</c:v>
                </c:pt>
                <c:pt idx="58">
                  <c:v>32</c:v>
                </c:pt>
                <c:pt idx="59">
                  <c:v>86</c:v>
                </c:pt>
                <c:pt idx="60">
                  <c:v>54</c:v>
                </c:pt>
                <c:pt idx="61">
                  <c:v>73</c:v>
                </c:pt>
                <c:pt idx="62">
                  <c:v>57</c:v>
                </c:pt>
                <c:pt idx="63">
                  <c:v>13</c:v>
                </c:pt>
                <c:pt idx="64">
                  <c:v>12</c:v>
                </c:pt>
                <c:pt idx="65">
                  <c:v>0</c:v>
                </c:pt>
                <c:pt idx="66">
                  <c:v>95</c:v>
                </c:pt>
                <c:pt idx="67">
                  <c:v>93</c:v>
                </c:pt>
                <c:pt idx="68">
                  <c:v>10</c:v>
                </c:pt>
                <c:pt idx="69">
                  <c:v>76</c:v>
                </c:pt>
                <c:pt idx="70">
                  <c:v>57</c:v>
                </c:pt>
                <c:pt idx="71">
                  <c:v>17</c:v>
                </c:pt>
                <c:pt idx="72">
                  <c:v>41</c:v>
                </c:pt>
                <c:pt idx="73">
                  <c:v>16</c:v>
                </c:pt>
                <c:pt idx="74">
                  <c:v>38</c:v>
                </c:pt>
                <c:pt idx="75">
                  <c:v>96</c:v>
                </c:pt>
                <c:pt idx="76">
                  <c:v>5</c:v>
                </c:pt>
                <c:pt idx="77">
                  <c:v>31</c:v>
                </c:pt>
                <c:pt idx="78">
                  <c:v>5</c:v>
                </c:pt>
                <c:pt idx="79">
                  <c:v>39</c:v>
                </c:pt>
                <c:pt idx="80">
                  <c:v>48</c:v>
                </c:pt>
                <c:pt idx="81">
                  <c:v>42</c:v>
                </c:pt>
                <c:pt idx="82">
                  <c:v>65</c:v>
                </c:pt>
                <c:pt idx="83">
                  <c:v>73</c:v>
                </c:pt>
                <c:pt idx="84">
                  <c:v>15</c:v>
                </c:pt>
                <c:pt idx="85">
                  <c:v>32</c:v>
                </c:pt>
                <c:pt idx="86">
                  <c:v>5</c:v>
                </c:pt>
                <c:pt idx="87">
                  <c:v>60</c:v>
                </c:pt>
                <c:pt idx="88">
                  <c:v>90</c:v>
                </c:pt>
                <c:pt idx="89">
                  <c:v>14</c:v>
                </c:pt>
                <c:pt idx="90">
                  <c:v>66</c:v>
                </c:pt>
                <c:pt idx="91">
                  <c:v>98</c:v>
                </c:pt>
                <c:pt idx="92">
                  <c:v>90</c:v>
                </c:pt>
                <c:pt idx="93">
                  <c:v>63</c:v>
                </c:pt>
                <c:pt idx="94">
                  <c:v>77</c:v>
                </c:pt>
                <c:pt idx="95">
                  <c:v>15</c:v>
                </c:pt>
                <c:pt idx="96">
                  <c:v>67</c:v>
                </c:pt>
                <c:pt idx="97">
                  <c:v>46</c:v>
                </c:pt>
                <c:pt idx="98">
                  <c:v>53</c:v>
                </c:pt>
                <c:pt idx="99">
                  <c:v>55</c:v>
                </c:pt>
              </c:numCache>
            </c:numRef>
          </c:val>
          <c:smooth val="0"/>
          <c:extLst>
            <c:ext xmlns:c16="http://schemas.microsoft.com/office/drawing/2014/chart" uri="{C3380CC4-5D6E-409C-BE32-E72D297353CC}">
              <c16:uniqueId val="{00000000-EA5D-4B8E-BC1E-DD2BBE3FCC9A}"/>
            </c:ext>
          </c:extLst>
        </c:ser>
        <c:dLbls>
          <c:showLegendKey val="0"/>
          <c:showVal val="0"/>
          <c:showCatName val="0"/>
          <c:showSerName val="0"/>
          <c:showPercent val="0"/>
          <c:showBubbleSize val="0"/>
        </c:dLbls>
        <c:smooth val="0"/>
        <c:axId val="743347920"/>
        <c:axId val="743349880"/>
      </c:lineChart>
      <c:catAx>
        <c:axId val="74334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SKU</a:t>
                </a:r>
              </a:p>
            </c:rich>
          </c:tx>
          <c:layout>
            <c:manualLayout>
              <c:xMode val="edge"/>
              <c:yMode val="edge"/>
              <c:x val="0.52295713035870517"/>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9880"/>
        <c:crosses val="autoZero"/>
        <c:auto val="1"/>
        <c:lblAlgn val="ctr"/>
        <c:lblOffset val="100"/>
        <c:noMultiLvlLbl val="0"/>
      </c:catAx>
      <c:valAx>
        <c:axId val="743349880"/>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Stock</a:t>
                </a:r>
                <a:r>
                  <a:rPr lang="en-US" baseline="0"/>
                  <a:t> Level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7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[Operations_LeadTime_Analysis report.xlsx]Pivot Table for Report!Order by SKu</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Quantity by SKU</a:t>
            </a:r>
          </a:p>
        </c:rich>
      </c:tx>
      <c:layout>
        <c:manualLayout>
          <c:xMode val="edge"/>
          <c:yMode val="edge"/>
          <c:x val="1.3333333333333326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Report'!$B$357</c:f>
              <c:strCache>
                <c:ptCount val="1"/>
                <c:pt idx="0">
                  <c:v>Total</c:v>
                </c:pt>
              </c:strCache>
            </c:strRef>
          </c:tx>
          <c:spPr>
            <a:solidFill>
              <a:schemeClr val="accent2"/>
            </a:solidFill>
            <a:ln>
              <a:noFill/>
            </a:ln>
            <a:effectLst/>
          </c:spPr>
          <c:invertIfNegative val="0"/>
          <c:cat>
            <c:strRef>
              <c:f>'Pivot Table for Report'!$A$358:$A$458</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'Pivot Table for Report'!$B$358:$B$458</c:f>
              <c:numCache>
                <c:formatCode>0</c:formatCode>
                <c:ptCount val="100"/>
                <c:pt idx="0">
                  <c:v>96</c:v>
                </c:pt>
                <c:pt idx="1">
                  <c:v>37</c:v>
                </c:pt>
                <c:pt idx="2">
                  <c:v>80</c:v>
                </c:pt>
                <c:pt idx="3">
                  <c:v>60</c:v>
                </c:pt>
                <c:pt idx="4">
                  <c:v>85</c:v>
                </c:pt>
                <c:pt idx="5">
                  <c:v>48</c:v>
                </c:pt>
                <c:pt idx="6">
                  <c:v>78</c:v>
                </c:pt>
                <c:pt idx="7">
                  <c:v>69</c:v>
                </c:pt>
                <c:pt idx="8">
                  <c:v>78</c:v>
                </c:pt>
                <c:pt idx="9">
                  <c:v>85</c:v>
                </c:pt>
                <c:pt idx="10">
                  <c:v>46</c:v>
                </c:pt>
                <c:pt idx="11">
                  <c:v>94</c:v>
                </c:pt>
                <c:pt idx="12">
                  <c:v>88</c:v>
                </c:pt>
                <c:pt idx="13">
                  <c:v>68</c:v>
                </c:pt>
                <c:pt idx="14">
                  <c:v>7</c:v>
                </c:pt>
                <c:pt idx="15">
                  <c:v>63</c:v>
                </c:pt>
                <c:pt idx="16">
                  <c:v>29</c:v>
                </c:pt>
                <c:pt idx="17">
                  <c:v>2</c:v>
                </c:pt>
                <c:pt idx="18">
                  <c:v>52</c:v>
                </c:pt>
                <c:pt idx="19">
                  <c:v>48</c:v>
                </c:pt>
                <c:pt idx="20">
                  <c:v>62</c:v>
                </c:pt>
                <c:pt idx="21">
                  <c:v>24</c:v>
                </c:pt>
                <c:pt idx="22">
                  <c:v>67</c:v>
                </c:pt>
                <c:pt idx="23">
                  <c:v>59</c:v>
                </c:pt>
                <c:pt idx="24">
                  <c:v>35</c:v>
                </c:pt>
                <c:pt idx="25">
                  <c:v>44</c:v>
                </c:pt>
                <c:pt idx="26">
                  <c:v>64</c:v>
                </c:pt>
                <c:pt idx="27">
                  <c:v>95</c:v>
                </c:pt>
                <c:pt idx="28">
                  <c:v>21</c:v>
                </c:pt>
                <c:pt idx="29">
                  <c:v>85</c:v>
                </c:pt>
                <c:pt idx="30">
                  <c:v>28</c:v>
                </c:pt>
                <c:pt idx="31">
                  <c:v>21</c:v>
                </c:pt>
                <c:pt idx="32">
                  <c:v>88</c:v>
                </c:pt>
                <c:pt idx="33">
                  <c:v>34</c:v>
                </c:pt>
                <c:pt idx="34">
                  <c:v>56</c:v>
                </c:pt>
                <c:pt idx="35">
                  <c:v>39</c:v>
                </c:pt>
                <c:pt idx="36">
                  <c:v>38</c:v>
                </c:pt>
                <c:pt idx="37">
                  <c:v>57</c:v>
                </c:pt>
                <c:pt idx="38">
                  <c:v>85</c:v>
                </c:pt>
                <c:pt idx="39">
                  <c:v>72</c:v>
                </c:pt>
                <c:pt idx="40">
                  <c:v>52</c:v>
                </c:pt>
                <c:pt idx="41">
                  <c:v>6</c:v>
                </c:pt>
                <c:pt idx="42">
                  <c:v>51</c:v>
                </c:pt>
                <c:pt idx="43">
                  <c:v>9</c:v>
                </c:pt>
                <c:pt idx="44">
                  <c:v>9</c:v>
                </c:pt>
                <c:pt idx="45">
                  <c:v>66</c:v>
                </c:pt>
                <c:pt idx="46">
                  <c:v>82</c:v>
                </c:pt>
                <c:pt idx="47">
                  <c:v>52</c:v>
                </c:pt>
                <c:pt idx="48">
                  <c:v>11</c:v>
                </c:pt>
                <c:pt idx="49">
                  <c:v>54</c:v>
                </c:pt>
                <c:pt idx="50">
                  <c:v>61</c:v>
                </c:pt>
                <c:pt idx="51">
                  <c:v>11</c:v>
                </c:pt>
                <c:pt idx="52">
                  <c:v>83</c:v>
                </c:pt>
                <c:pt idx="53">
                  <c:v>51</c:v>
                </c:pt>
                <c:pt idx="54">
                  <c:v>44</c:v>
                </c:pt>
                <c:pt idx="55">
                  <c:v>26</c:v>
                </c:pt>
                <c:pt idx="56">
                  <c:v>58</c:v>
                </c:pt>
                <c:pt idx="57">
                  <c:v>72</c:v>
                </c:pt>
                <c:pt idx="58">
                  <c:v>36</c:v>
                </c:pt>
                <c:pt idx="59">
                  <c:v>40</c:v>
                </c:pt>
                <c:pt idx="60">
                  <c:v>10</c:v>
                </c:pt>
                <c:pt idx="61">
                  <c:v>75</c:v>
                </c:pt>
                <c:pt idx="62">
                  <c:v>54</c:v>
                </c:pt>
                <c:pt idx="63">
                  <c:v>19</c:v>
                </c:pt>
                <c:pt idx="64">
                  <c:v>71</c:v>
                </c:pt>
                <c:pt idx="65">
                  <c:v>58</c:v>
                </c:pt>
                <c:pt idx="66">
                  <c:v>27</c:v>
                </c:pt>
                <c:pt idx="67">
                  <c:v>11</c:v>
                </c:pt>
                <c:pt idx="68">
                  <c:v>22</c:v>
                </c:pt>
                <c:pt idx="69">
                  <c:v>26</c:v>
                </c:pt>
                <c:pt idx="70">
                  <c:v>77</c:v>
                </c:pt>
                <c:pt idx="71">
                  <c:v>66</c:v>
                </c:pt>
                <c:pt idx="72">
                  <c:v>1</c:v>
                </c:pt>
                <c:pt idx="73">
                  <c:v>56</c:v>
                </c:pt>
                <c:pt idx="74">
                  <c:v>22</c:v>
                </c:pt>
                <c:pt idx="75">
                  <c:v>57</c:v>
                </c:pt>
                <c:pt idx="76">
                  <c:v>51</c:v>
                </c:pt>
                <c:pt idx="77">
                  <c:v>20</c:v>
                </c:pt>
                <c:pt idx="78">
                  <c:v>15</c:v>
                </c:pt>
                <c:pt idx="79">
                  <c:v>41</c:v>
                </c:pt>
                <c:pt idx="80">
                  <c:v>8</c:v>
                </c:pt>
                <c:pt idx="81">
                  <c:v>72</c:v>
                </c:pt>
                <c:pt idx="82">
                  <c:v>7</c:v>
                </c:pt>
                <c:pt idx="83">
                  <c:v>80</c:v>
                </c:pt>
                <c:pt idx="84">
                  <c:v>66</c:v>
                </c:pt>
                <c:pt idx="85">
                  <c:v>22</c:v>
                </c:pt>
                <c:pt idx="86">
                  <c:v>55</c:v>
                </c:pt>
                <c:pt idx="87">
                  <c:v>85</c:v>
                </c:pt>
                <c:pt idx="88">
                  <c:v>27</c:v>
                </c:pt>
                <c:pt idx="89">
                  <c:v>83</c:v>
                </c:pt>
                <c:pt idx="90">
                  <c:v>96</c:v>
                </c:pt>
                <c:pt idx="91">
                  <c:v>85</c:v>
                </c:pt>
                <c:pt idx="92">
                  <c:v>10</c:v>
                </c:pt>
                <c:pt idx="93">
                  <c:v>66</c:v>
                </c:pt>
                <c:pt idx="94">
                  <c:v>72</c:v>
                </c:pt>
                <c:pt idx="95">
                  <c:v>26</c:v>
                </c:pt>
                <c:pt idx="96">
                  <c:v>32</c:v>
                </c:pt>
                <c:pt idx="97">
                  <c:v>4</c:v>
                </c:pt>
                <c:pt idx="98">
                  <c:v>27</c:v>
                </c:pt>
                <c:pt idx="99">
                  <c:v>59</c:v>
                </c:pt>
              </c:numCache>
            </c:numRef>
          </c:val>
          <c:extLst>
            <c:ext xmlns:c16="http://schemas.microsoft.com/office/drawing/2014/chart" uri="{C3380CC4-5D6E-409C-BE32-E72D297353CC}">
              <c16:uniqueId val="{00000000-77D9-4F8A-9C9A-C0C825B46876}"/>
            </c:ext>
          </c:extLst>
        </c:ser>
        <c:dLbls>
          <c:showLegendKey val="0"/>
          <c:showVal val="0"/>
          <c:showCatName val="0"/>
          <c:showSerName val="0"/>
          <c:showPercent val="0"/>
          <c:showBubbleSize val="0"/>
        </c:dLbls>
        <c:gapWidth val="150"/>
        <c:axId val="743345568"/>
        <c:axId val="743346744"/>
      </c:barChart>
      <c:catAx>
        <c:axId val="74334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SKU</a:t>
                </a:r>
              </a:p>
            </c:rich>
          </c:tx>
          <c:layout>
            <c:manualLayout>
              <c:xMode val="edge"/>
              <c:yMode val="edge"/>
              <c:x val="0.51184601924759399"/>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6744"/>
        <c:crosses val="autoZero"/>
        <c:auto val="1"/>
        <c:lblAlgn val="ctr"/>
        <c:lblOffset val="100"/>
        <c:noMultiLvlLbl val="0"/>
      </c:catAx>
      <c:valAx>
        <c:axId val="743346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Quantity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5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[Operations_LeadTime_Analysis report.xlsx]Pivot Table for Report!Shpping cost by carrier</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 Costs by Carrier</a:t>
            </a:r>
          </a:p>
        </c:rich>
      </c:tx>
      <c:layout>
        <c:manualLayout>
          <c:xMode val="edge"/>
          <c:yMode val="edge"/>
          <c:x val="5.095122484689412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for Report'!$B$466</c:f>
              <c:strCache>
                <c:ptCount val="1"/>
                <c:pt idx="0">
                  <c:v>Total</c:v>
                </c:pt>
              </c:strCache>
            </c:strRef>
          </c:tx>
          <c:spPr>
            <a:solidFill>
              <a:schemeClr val="accent2"/>
            </a:solidFill>
            <a:ln>
              <a:noFill/>
            </a:ln>
            <a:effectLst/>
          </c:spPr>
          <c:invertIfNegative val="0"/>
          <c:cat>
            <c:strRef>
              <c:f>'Pivot Table for Report'!$A$467:$A$470</c:f>
              <c:strCache>
                <c:ptCount val="3"/>
                <c:pt idx="0">
                  <c:v>Carrier A</c:v>
                </c:pt>
                <c:pt idx="1">
                  <c:v>Carrier B</c:v>
                </c:pt>
                <c:pt idx="2">
                  <c:v>Carrier C</c:v>
                </c:pt>
              </c:strCache>
            </c:strRef>
          </c:cat>
          <c:val>
            <c:numRef>
              <c:f>'Pivot Table for Report'!$B$467:$B$470</c:f>
              <c:numCache>
                <c:formatCode>0</c:formatCode>
                <c:ptCount val="3"/>
                <c:pt idx="0">
                  <c:v>155.53783060623547</c:v>
                </c:pt>
                <c:pt idx="1">
                  <c:v>236.8976196639353</c:v>
                </c:pt>
                <c:pt idx="2">
                  <c:v>162.37945693178756</c:v>
                </c:pt>
              </c:numCache>
            </c:numRef>
          </c:val>
          <c:extLst>
            <c:ext xmlns:c16="http://schemas.microsoft.com/office/drawing/2014/chart" uri="{C3380CC4-5D6E-409C-BE32-E72D297353CC}">
              <c16:uniqueId val="{00000000-57DE-45D0-9120-CB215B4343D7}"/>
            </c:ext>
          </c:extLst>
        </c:ser>
        <c:dLbls>
          <c:showLegendKey val="0"/>
          <c:showVal val="0"/>
          <c:showCatName val="0"/>
          <c:showSerName val="0"/>
          <c:showPercent val="0"/>
          <c:showBubbleSize val="0"/>
        </c:dLbls>
        <c:gapWidth val="300"/>
        <c:axId val="743345960"/>
        <c:axId val="743347136"/>
      </c:barChart>
      <c:catAx>
        <c:axId val="743345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Shipping</a:t>
                </a:r>
                <a:r>
                  <a:rPr lang="en-US" baseline="0"/>
                  <a:t> Carriers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7136"/>
        <c:crosses val="autoZero"/>
        <c:auto val="1"/>
        <c:lblAlgn val="ctr"/>
        <c:lblOffset val="100"/>
        <c:noMultiLvlLbl val="0"/>
      </c:catAx>
      <c:valAx>
        <c:axId val="74334713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Shipping</a:t>
                </a:r>
                <a:r>
                  <a:rPr lang="en-US" baseline="0"/>
                  <a:t> Cost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5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 Table for Report!cost distribution</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Distribution by Transportation Mode</a:t>
            </a:r>
          </a:p>
        </c:rich>
      </c:tx>
      <c:layout>
        <c:manualLayout>
          <c:xMode val="edge"/>
          <c:yMode val="edge"/>
          <c:x val="1.452077865266841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 for Report'!$B$477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70-4EA6-9935-6C1A5A397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70-4EA6-9935-6C1A5A397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70-4EA6-9935-6C1A5A397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70-4EA6-9935-6C1A5A397F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for Report'!$A$478:$A$482</c:f>
              <c:strCache>
                <c:ptCount val="4"/>
                <c:pt idx="0">
                  <c:v>Air</c:v>
                </c:pt>
                <c:pt idx="1">
                  <c:v>Rail</c:v>
                </c:pt>
                <c:pt idx="2">
                  <c:v>Road</c:v>
                </c:pt>
                <c:pt idx="3">
                  <c:v>Sea</c:v>
                </c:pt>
              </c:strCache>
            </c:strRef>
          </c:cat>
          <c:val>
            <c:numRef>
              <c:f>'Pivot Table for Report'!$B$478:$B$482</c:f>
              <c:numCache>
                <c:formatCode>0</c:formatCode>
                <c:ptCount val="4"/>
                <c:pt idx="0">
                  <c:v>14604.527497613768</c:v>
                </c:pt>
                <c:pt idx="1">
                  <c:v>15168.931558531671</c:v>
                </c:pt>
                <c:pt idx="2">
                  <c:v>16048.193639194949</c:v>
                </c:pt>
                <c:pt idx="3">
                  <c:v>7102.9255204736692</c:v>
                </c:pt>
              </c:numCache>
            </c:numRef>
          </c:val>
          <c:extLst>
            <c:ext xmlns:c16="http://schemas.microsoft.com/office/drawing/2014/chart" uri="{C3380CC4-5D6E-409C-BE32-E72D297353CC}">
              <c16:uniqueId val="{00000008-C170-4EA6-9935-6C1A5A397F97}"/>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[Operations_LeadTime_Analysis report.xlsx]Pivot Table for Report!avearge defect by product type4</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Defect Rates by Product Type</a:t>
            </a:r>
          </a:p>
        </c:rich>
      </c:tx>
      <c:layout>
        <c:manualLayout>
          <c:xMode val="edge"/>
          <c:yMode val="edge"/>
          <c:x val="2.678455818022745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for Report'!$B$492</c:f>
              <c:strCache>
                <c:ptCount val="1"/>
                <c:pt idx="0">
                  <c:v>Total</c:v>
                </c:pt>
              </c:strCache>
            </c:strRef>
          </c:tx>
          <c:spPr>
            <a:solidFill>
              <a:schemeClr val="accent2"/>
            </a:solidFill>
            <a:ln>
              <a:noFill/>
            </a:ln>
            <a:effectLst/>
          </c:spPr>
          <c:invertIfNegative val="0"/>
          <c:cat>
            <c:strRef>
              <c:f>'Pivot Table for Report'!$A$493:$A$496</c:f>
              <c:strCache>
                <c:ptCount val="3"/>
                <c:pt idx="0">
                  <c:v>cosmetics</c:v>
                </c:pt>
                <c:pt idx="1">
                  <c:v>haircare</c:v>
                </c:pt>
                <c:pt idx="2">
                  <c:v>skincare</c:v>
                </c:pt>
              </c:strCache>
            </c:strRef>
          </c:cat>
          <c:val>
            <c:numRef>
              <c:f>'Pivot Table for Report'!$B$493:$B$496</c:f>
              <c:numCache>
                <c:formatCode>0.0</c:formatCode>
                <c:ptCount val="3"/>
                <c:pt idx="0">
                  <c:v>1.9192869782813149</c:v>
                </c:pt>
                <c:pt idx="1">
                  <c:v>2.4831501929246214</c:v>
                </c:pt>
                <c:pt idx="2">
                  <c:v>2.3346807819802327</c:v>
                </c:pt>
              </c:numCache>
            </c:numRef>
          </c:val>
          <c:extLst>
            <c:ext xmlns:c16="http://schemas.microsoft.com/office/drawing/2014/chart" uri="{C3380CC4-5D6E-409C-BE32-E72D297353CC}">
              <c16:uniqueId val="{00000000-B806-4CE5-AA31-8F70711D8ADE}"/>
            </c:ext>
          </c:extLst>
        </c:ser>
        <c:dLbls>
          <c:showLegendKey val="0"/>
          <c:showVal val="0"/>
          <c:showCatName val="0"/>
          <c:showSerName val="0"/>
          <c:showPercent val="0"/>
          <c:showBubbleSize val="0"/>
        </c:dLbls>
        <c:gapWidth val="182"/>
        <c:axId val="743351056"/>
        <c:axId val="743351448"/>
      </c:barChart>
      <c:catAx>
        <c:axId val="743351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Defect</a:t>
                </a:r>
                <a:r>
                  <a:rPr lang="en-US" baseline="0"/>
                  <a: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1448"/>
        <c:crosses val="autoZero"/>
        <c:auto val="1"/>
        <c:lblAlgn val="ctr"/>
        <c:lblOffset val="100"/>
        <c:noMultiLvlLbl val="0"/>
      </c:catAx>
      <c:valAx>
        <c:axId val="7433514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1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[Operations_LeadTime_Analysis report.xlsx]Pivot Table for Report!defect rate by transportation mode</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Defect Rates by Transportation Mode</a:t>
            </a:r>
          </a:p>
        </c:rich>
      </c:tx>
      <c:layout>
        <c:manualLayout>
          <c:xMode val="edge"/>
          <c:yMode val="edge"/>
          <c:x val="3.6805555555555557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8000"/>
            </a:schemeClr>
          </a:solidFill>
          <a:ln w="19050">
            <a:solidFill>
              <a:schemeClr val="lt1"/>
            </a:solidFill>
          </a:ln>
          <a:effectLst/>
        </c:spPr>
      </c:pivotFmt>
      <c:pivotFmt>
        <c:idx val="2"/>
        <c:spPr>
          <a:solidFill>
            <a:schemeClr val="accent2">
              <a:shade val="86000"/>
            </a:schemeClr>
          </a:solidFill>
          <a:ln w="19050">
            <a:solidFill>
              <a:schemeClr val="lt1"/>
            </a:solidFill>
          </a:ln>
          <a:effectLst/>
        </c:spPr>
      </c:pivotFmt>
      <c:pivotFmt>
        <c:idx val="3"/>
        <c:spPr>
          <a:solidFill>
            <a:schemeClr val="accent2">
              <a:tint val="86000"/>
            </a:schemeClr>
          </a:solidFill>
          <a:ln w="19050">
            <a:solidFill>
              <a:schemeClr val="lt1"/>
            </a:solidFill>
          </a:ln>
          <a:effectLst/>
        </c:spPr>
      </c:pivotFmt>
      <c:pivotFmt>
        <c:idx val="4"/>
        <c:spPr>
          <a:solidFill>
            <a:schemeClr val="accent2">
              <a:tint val="58000"/>
            </a:schemeClr>
          </a:solidFill>
          <a:ln w="19050">
            <a:solidFill>
              <a:schemeClr val="lt1"/>
            </a:solidFill>
          </a:ln>
          <a:effectLst/>
        </c:spPr>
      </c:pivotFmt>
    </c:pivotFmts>
    <c:plotArea>
      <c:layout>
        <c:manualLayout>
          <c:layoutTarget val="inner"/>
          <c:xMode val="edge"/>
          <c:yMode val="edge"/>
          <c:x val="0.24343350831146107"/>
          <c:y val="0.16184893554972296"/>
          <c:w val="0.45880905511811021"/>
          <c:h val="0.76468175853018372"/>
        </c:manualLayout>
      </c:layout>
      <c:doughnutChart>
        <c:varyColors val="1"/>
        <c:ser>
          <c:idx val="0"/>
          <c:order val="0"/>
          <c:tx>
            <c:strRef>
              <c:f>'Pivot Table for Report'!$B$512</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7E1D-45BF-9E4F-CFA796CE2B2C}"/>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7E1D-45BF-9E4F-CFA796CE2B2C}"/>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7E1D-45BF-9E4F-CFA796CE2B2C}"/>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7E1D-45BF-9E4F-CFA796CE2B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for Report'!$A$513:$A$517</c:f>
              <c:strCache>
                <c:ptCount val="4"/>
                <c:pt idx="0">
                  <c:v>Air</c:v>
                </c:pt>
                <c:pt idx="1">
                  <c:v>Rail</c:v>
                </c:pt>
                <c:pt idx="2">
                  <c:v>Road</c:v>
                </c:pt>
                <c:pt idx="3">
                  <c:v>Sea</c:v>
                </c:pt>
              </c:strCache>
            </c:strRef>
          </c:cat>
          <c:val>
            <c:numRef>
              <c:f>'Pivot Table for Report'!$B$513:$B$517</c:f>
              <c:numCache>
                <c:formatCode>0.0%</c:formatCode>
                <c:ptCount val="4"/>
                <c:pt idx="0">
                  <c:v>0.20825086506840504</c:v>
                </c:pt>
                <c:pt idx="1">
                  <c:v>0.28512202335290149</c:v>
                </c:pt>
                <c:pt idx="2">
                  <c:v>0.33378103712049212</c:v>
                </c:pt>
                <c:pt idx="3">
                  <c:v>0.17284607445820127</c:v>
                </c:pt>
              </c:numCache>
            </c:numRef>
          </c:val>
          <c:extLst>
            <c:ext xmlns:c16="http://schemas.microsoft.com/office/drawing/2014/chart" uri="{C3380CC4-5D6E-409C-BE32-E72D297353CC}">
              <c16:uniqueId val="{00000008-7E1D-45BF-9E4F-CFA796CE2B2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8734273840769908"/>
          <c:y val="0.36710520559930016"/>
          <c:w val="9.599059492563429E-2"/>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 Table for Report!Av Lead/Manufacturing</c:name>
    <c:fmtId val="3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for Report'!$B$137</c:f>
              <c:strCache>
                <c:ptCount val="1"/>
                <c:pt idx="0">
                  <c:v>Average of Lead times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for Report'!$A$138:$A$141</c:f>
              <c:strCache>
                <c:ptCount val="3"/>
                <c:pt idx="0">
                  <c:v>cosmetics</c:v>
                </c:pt>
                <c:pt idx="1">
                  <c:v>haircare</c:v>
                </c:pt>
                <c:pt idx="2">
                  <c:v>skincare</c:v>
                </c:pt>
              </c:strCache>
            </c:strRef>
          </c:cat>
          <c:val>
            <c:numRef>
              <c:f>'Pivot Table for Report'!$B$138:$B$141</c:f>
              <c:numCache>
                <c:formatCode>0.000</c:formatCode>
                <c:ptCount val="3"/>
                <c:pt idx="0">
                  <c:v>15.384615384615385</c:v>
                </c:pt>
                <c:pt idx="1">
                  <c:v>15.529411764705882</c:v>
                </c:pt>
                <c:pt idx="2">
                  <c:v>16.7</c:v>
                </c:pt>
              </c:numCache>
            </c:numRef>
          </c:val>
          <c:extLst>
            <c:ext xmlns:c16="http://schemas.microsoft.com/office/drawing/2014/chart" uri="{C3380CC4-5D6E-409C-BE32-E72D297353CC}">
              <c16:uniqueId val="{00000000-1484-4CA7-96CD-86A89E719C66}"/>
            </c:ext>
          </c:extLst>
        </c:ser>
        <c:ser>
          <c:idx val="1"/>
          <c:order val="1"/>
          <c:tx>
            <c:strRef>
              <c:f>'Pivot Table for Report'!$C$137</c:f>
              <c:strCache>
                <c:ptCount val="1"/>
                <c:pt idx="0">
                  <c:v>Average of Manufacturing costs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for Report'!$A$138:$A$141</c:f>
              <c:strCache>
                <c:ptCount val="3"/>
                <c:pt idx="0">
                  <c:v>cosmetics</c:v>
                </c:pt>
                <c:pt idx="1">
                  <c:v>haircare</c:v>
                </c:pt>
                <c:pt idx="2">
                  <c:v>skincare</c:v>
                </c:pt>
              </c:strCache>
            </c:strRef>
          </c:cat>
          <c:val>
            <c:numRef>
              <c:f>'Pivot Table for Report'!$C$138:$C$141</c:f>
              <c:numCache>
                <c:formatCode>0.000</c:formatCode>
                <c:ptCount val="3"/>
                <c:pt idx="0">
                  <c:v>43.052740496493371</c:v>
                </c:pt>
                <c:pt idx="1">
                  <c:v>48.457993420627218</c:v>
                </c:pt>
                <c:pt idx="2">
                  <c:v>48.993157373420878</c:v>
                </c:pt>
              </c:numCache>
            </c:numRef>
          </c:val>
          <c:extLst>
            <c:ext xmlns:c16="http://schemas.microsoft.com/office/drawing/2014/chart" uri="{C3380CC4-5D6E-409C-BE32-E72D297353CC}">
              <c16:uniqueId val="{00000001-1484-4CA7-96CD-86A89E719C66}"/>
            </c:ext>
          </c:extLst>
        </c:ser>
        <c:dLbls>
          <c:showLegendKey val="0"/>
          <c:showVal val="1"/>
          <c:showCatName val="0"/>
          <c:showSerName val="0"/>
          <c:showPercent val="0"/>
          <c:showBubbleSize val="0"/>
        </c:dLbls>
        <c:gapWidth val="79"/>
        <c:shape val="box"/>
        <c:axId val="743347528"/>
        <c:axId val="743348312"/>
        <c:axId val="0"/>
      </c:bar3DChart>
      <c:catAx>
        <c:axId val="743347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743348312"/>
        <c:crosses val="autoZero"/>
        <c:auto val="1"/>
        <c:lblAlgn val="ctr"/>
        <c:lblOffset val="100"/>
        <c:noMultiLvlLbl val="0"/>
      </c:catAx>
      <c:valAx>
        <c:axId val="743348312"/>
        <c:scaling>
          <c:orientation val="minMax"/>
        </c:scaling>
        <c:delete val="1"/>
        <c:axPos val="l"/>
        <c:numFmt formatCode="0.000" sourceLinked="1"/>
        <c:majorTickMark val="none"/>
        <c:minorTickMark val="none"/>
        <c:tickLblPos val="nextTo"/>
        <c:crossAx val="74334752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3.7959755030621163E-2"/>
          <c:y val="0.89409667541557303"/>
          <c:w val="0.89630249343832036"/>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[Operations_LeadTime_Analysis report.xlsx]Pivot Table for Report!Av Lead/Manufacturing</c:name>
    <c:fmtId val="33"/>
  </c:pivotSource>
  <c:chart>
    <c:autoTitleDeleted val="0"/>
    <c:pivotFmts>
      <c:pivotFmt>
        <c:idx val="0"/>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for Report'!$B$137</c:f>
              <c:strCache>
                <c:ptCount val="1"/>
                <c:pt idx="0">
                  <c:v>Average of Lead times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for Report'!$A$138:$A$141</c:f>
              <c:strCache>
                <c:ptCount val="3"/>
                <c:pt idx="0">
                  <c:v>cosmetics</c:v>
                </c:pt>
                <c:pt idx="1">
                  <c:v>haircare</c:v>
                </c:pt>
                <c:pt idx="2">
                  <c:v>skincare</c:v>
                </c:pt>
              </c:strCache>
            </c:strRef>
          </c:cat>
          <c:val>
            <c:numRef>
              <c:f>'Pivot Table for Report'!$B$138:$B$141</c:f>
              <c:numCache>
                <c:formatCode>0.000</c:formatCode>
                <c:ptCount val="3"/>
                <c:pt idx="0">
                  <c:v>15.384615384615385</c:v>
                </c:pt>
                <c:pt idx="1">
                  <c:v>15.529411764705882</c:v>
                </c:pt>
                <c:pt idx="2">
                  <c:v>16.7</c:v>
                </c:pt>
              </c:numCache>
            </c:numRef>
          </c:val>
          <c:extLst>
            <c:ext xmlns:c16="http://schemas.microsoft.com/office/drawing/2014/chart" uri="{C3380CC4-5D6E-409C-BE32-E72D297353CC}">
              <c16:uniqueId val="{00000000-2AA6-43F5-BA67-9337CE6BCE0D}"/>
            </c:ext>
          </c:extLst>
        </c:ser>
        <c:ser>
          <c:idx val="1"/>
          <c:order val="1"/>
          <c:tx>
            <c:strRef>
              <c:f>'Pivot Table for Report'!$C$137</c:f>
              <c:strCache>
                <c:ptCount val="1"/>
                <c:pt idx="0">
                  <c:v>Average of Manufacturing costs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for Report'!$A$138:$A$141</c:f>
              <c:strCache>
                <c:ptCount val="3"/>
                <c:pt idx="0">
                  <c:v>cosmetics</c:v>
                </c:pt>
                <c:pt idx="1">
                  <c:v>haircare</c:v>
                </c:pt>
                <c:pt idx="2">
                  <c:v>skincare</c:v>
                </c:pt>
              </c:strCache>
            </c:strRef>
          </c:cat>
          <c:val>
            <c:numRef>
              <c:f>'Pivot Table for Report'!$C$138:$C$141</c:f>
              <c:numCache>
                <c:formatCode>0.000</c:formatCode>
                <c:ptCount val="3"/>
                <c:pt idx="0">
                  <c:v>43.052740496493371</c:v>
                </c:pt>
                <c:pt idx="1">
                  <c:v>48.457993420627218</c:v>
                </c:pt>
                <c:pt idx="2">
                  <c:v>48.993157373420878</c:v>
                </c:pt>
              </c:numCache>
            </c:numRef>
          </c:val>
          <c:extLst>
            <c:ext xmlns:c16="http://schemas.microsoft.com/office/drawing/2014/chart" uri="{C3380CC4-5D6E-409C-BE32-E72D297353CC}">
              <c16:uniqueId val="{00000001-2AA6-43F5-BA67-9337CE6BCE0D}"/>
            </c:ext>
          </c:extLst>
        </c:ser>
        <c:dLbls>
          <c:showLegendKey val="0"/>
          <c:showVal val="1"/>
          <c:showCatName val="0"/>
          <c:showSerName val="0"/>
          <c:showPercent val="0"/>
          <c:showBubbleSize val="0"/>
        </c:dLbls>
        <c:gapWidth val="79"/>
        <c:shape val="box"/>
        <c:axId val="743349096"/>
        <c:axId val="743349488"/>
        <c:axId val="0"/>
      </c:bar3DChart>
      <c:catAx>
        <c:axId val="743349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743349488"/>
        <c:crosses val="autoZero"/>
        <c:auto val="1"/>
        <c:lblAlgn val="ctr"/>
        <c:lblOffset val="100"/>
        <c:noMultiLvlLbl val="0"/>
      </c:catAx>
      <c:valAx>
        <c:axId val="743349488"/>
        <c:scaling>
          <c:orientation val="minMax"/>
        </c:scaling>
        <c:delete val="1"/>
        <c:axPos val="l"/>
        <c:numFmt formatCode="0.000" sourceLinked="1"/>
        <c:majorTickMark val="none"/>
        <c:minorTickMark val="none"/>
        <c:tickLblPos val="nextTo"/>
        <c:crossAx val="74334909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3.7959755030621163E-2"/>
          <c:y val="0.89409667541557303"/>
          <c:w val="0.89630249343832036"/>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[Operations_LeadTime_Analysis report.xlsx]Pivot Table for Dashboard!Revenue Contribution by Product</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Contribution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stacked"/>
        <c:varyColors val="0"/>
        <c:ser>
          <c:idx val="0"/>
          <c:order val="0"/>
          <c:tx>
            <c:strRef>
              <c:f>'Pivot Table for Dashboard'!$B$55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for Dashboard'!$A$56:$A$57</c:f>
              <c:strCache>
                <c:ptCount val="1"/>
                <c:pt idx="0">
                  <c:v>skincare</c:v>
                </c:pt>
              </c:strCache>
            </c:strRef>
          </c:cat>
          <c:val>
            <c:numRef>
              <c:f>'Pivot Table for Dashboard'!$B$56:$B$57</c:f>
              <c:numCache>
                <c:formatCode>_("$"* #,##0_);_("$"* \(#,##0\);_("$"* "-"??_);_(@_)</c:formatCode>
                <c:ptCount val="1"/>
                <c:pt idx="0">
                  <c:v>241628.16213306304</c:v>
                </c:pt>
              </c:numCache>
            </c:numRef>
          </c:val>
          <c:extLst>
            <c:ext xmlns:c16="http://schemas.microsoft.com/office/drawing/2014/chart" uri="{C3380CC4-5D6E-409C-BE32-E72D297353CC}">
              <c16:uniqueId val="{00000000-EE74-431D-AAD4-0D308A767426}"/>
            </c:ext>
          </c:extLst>
        </c:ser>
        <c:dLbls>
          <c:showLegendKey val="0"/>
          <c:showVal val="1"/>
          <c:showCatName val="0"/>
          <c:showSerName val="0"/>
          <c:showPercent val="0"/>
          <c:showBubbleSize val="0"/>
        </c:dLbls>
        <c:gapWidth val="95"/>
        <c:overlap val="100"/>
        <c:axId val="743351840"/>
        <c:axId val="743352232"/>
      </c:barChart>
      <c:catAx>
        <c:axId val="7433518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52232"/>
        <c:crosses val="autoZero"/>
        <c:auto val="1"/>
        <c:lblAlgn val="ctr"/>
        <c:lblOffset val="100"/>
        <c:noMultiLvlLbl val="0"/>
      </c:catAx>
      <c:valAx>
        <c:axId val="743352232"/>
        <c:scaling>
          <c:orientation val="minMax"/>
        </c:scaling>
        <c:delete val="1"/>
        <c:axPos val="l"/>
        <c:numFmt formatCode="_(&quot;$&quot;* #,##0_);_(&quot;$&quot;* \(#,##0\);_(&quot;$&quot;* &quot;-&quot;??_);_(@_)" sourceLinked="1"/>
        <c:majorTickMark val="none"/>
        <c:minorTickMark val="none"/>
        <c:tickLblPos val="nextTo"/>
        <c:crossAx val="743351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[Operations_LeadTime_Analysis report.xlsx]Pivot Table for Dashboard!Revenue Contribution by Locations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Contribution by Locations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stacked"/>
        <c:varyColors val="0"/>
        <c:ser>
          <c:idx val="0"/>
          <c:order val="0"/>
          <c:tx>
            <c:strRef>
              <c:f>'Pivot Table for Dashboard'!$B$72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for Dashboard'!$A$73:$A$78</c:f>
              <c:strCache>
                <c:ptCount val="5"/>
                <c:pt idx="0">
                  <c:v>Kolkata</c:v>
                </c:pt>
                <c:pt idx="1">
                  <c:v>Chennai</c:v>
                </c:pt>
                <c:pt idx="2">
                  <c:v>Mumbai</c:v>
                </c:pt>
                <c:pt idx="3">
                  <c:v>Bangalore</c:v>
                </c:pt>
                <c:pt idx="4">
                  <c:v>Delhi</c:v>
                </c:pt>
              </c:strCache>
            </c:strRef>
          </c:cat>
          <c:val>
            <c:numRef>
              <c:f>'Pivot Table for Dashboard'!$B$73:$B$78</c:f>
              <c:numCache>
                <c:formatCode>_("$"* #,##0_);_("$"* \(#,##0\);_("$"* "-"??_);_(@_)</c:formatCode>
                <c:ptCount val="5"/>
                <c:pt idx="0">
                  <c:v>77886.265902635438</c:v>
                </c:pt>
                <c:pt idx="1">
                  <c:v>58957.419359110936</c:v>
                </c:pt>
                <c:pt idx="2">
                  <c:v>44174.538436971299</c:v>
                </c:pt>
                <c:pt idx="3">
                  <c:v>31637.815306799101</c:v>
                </c:pt>
                <c:pt idx="4">
                  <c:v>28972.12312754626</c:v>
                </c:pt>
              </c:numCache>
            </c:numRef>
          </c:val>
          <c:extLst>
            <c:ext xmlns:c16="http://schemas.microsoft.com/office/drawing/2014/chart" uri="{C3380CC4-5D6E-409C-BE32-E72D297353CC}">
              <c16:uniqueId val="{00000000-91EF-41F6-8AA1-F97D6BEB4148}"/>
            </c:ext>
          </c:extLst>
        </c:ser>
        <c:dLbls>
          <c:showLegendKey val="0"/>
          <c:showVal val="1"/>
          <c:showCatName val="0"/>
          <c:showSerName val="0"/>
          <c:showPercent val="0"/>
          <c:showBubbleSize val="0"/>
        </c:dLbls>
        <c:gapWidth val="33"/>
        <c:overlap val="30"/>
        <c:axId val="743342824"/>
        <c:axId val="743345176"/>
      </c:barChart>
      <c:catAx>
        <c:axId val="743342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45176"/>
        <c:crosses val="autoZero"/>
        <c:auto val="1"/>
        <c:lblAlgn val="ctr"/>
        <c:lblOffset val="100"/>
        <c:noMultiLvlLbl val="0"/>
      </c:catAx>
      <c:valAx>
        <c:axId val="743345176"/>
        <c:scaling>
          <c:orientation val="minMax"/>
        </c:scaling>
        <c:delete val="1"/>
        <c:axPos val="l"/>
        <c:numFmt formatCode="_(&quot;$&quot;* #,##0_);_(&quot;$&quot;* \(#,##0\);_(&quot;$&quot;* &quot;-&quot;??_);_(@_)" sourceLinked="1"/>
        <c:majorTickMark val="none"/>
        <c:minorTickMark val="none"/>
        <c:tickLblPos val="nextTo"/>
        <c:crossAx val="743342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[Operations_LeadTime_Analysis report.xlsx]Pivot Table for Dashboard!Total Product Delivered By Carriers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Product</a:t>
            </a:r>
            <a:r>
              <a:rPr lang="en-US" baseline="0"/>
              <a:t> Delivered By Carriers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stacked"/>
        <c:varyColors val="0"/>
        <c:ser>
          <c:idx val="0"/>
          <c:order val="0"/>
          <c:tx>
            <c:strRef>
              <c:f>'Pivot Table for Dashboard'!$B$89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for Dashboard'!$A$90:$A$93</c:f>
              <c:strCache>
                <c:ptCount val="3"/>
                <c:pt idx="0">
                  <c:v>Carrier B</c:v>
                </c:pt>
                <c:pt idx="1">
                  <c:v>Carrier C</c:v>
                </c:pt>
                <c:pt idx="2">
                  <c:v>Carrier A</c:v>
                </c:pt>
              </c:strCache>
            </c:strRef>
          </c:cat>
          <c:val>
            <c:numRef>
              <c:f>'Pivot Table for Dashboard'!$B$90:$B$93</c:f>
              <c:numCache>
                <c:formatCode>_("$"* #,##0_);_("$"* \(#,##0\);_("$"* "-"??_);_(@_)</c:formatCode>
                <c:ptCount val="3"/>
                <c:pt idx="0">
                  <c:v>89157.328433907896</c:v>
                </c:pt>
                <c:pt idx="1">
                  <c:v>85516.357754999175</c:v>
                </c:pt>
                <c:pt idx="2">
                  <c:v>66954.475944155958</c:v>
                </c:pt>
              </c:numCache>
            </c:numRef>
          </c:val>
          <c:extLst>
            <c:ext xmlns:c16="http://schemas.microsoft.com/office/drawing/2014/chart" uri="{C3380CC4-5D6E-409C-BE32-E72D297353CC}">
              <c16:uniqueId val="{00000000-10A9-4BFA-B19C-4812D9A462E7}"/>
            </c:ext>
          </c:extLst>
        </c:ser>
        <c:dLbls>
          <c:showLegendKey val="0"/>
          <c:showVal val="1"/>
          <c:showCatName val="0"/>
          <c:showSerName val="0"/>
          <c:showPercent val="0"/>
          <c:showBubbleSize val="0"/>
        </c:dLbls>
        <c:gapWidth val="100"/>
        <c:overlap val="100"/>
        <c:axId val="743342432"/>
        <c:axId val="743343216"/>
      </c:barChart>
      <c:catAx>
        <c:axId val="743342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343216"/>
        <c:crosses val="autoZero"/>
        <c:auto val="1"/>
        <c:lblAlgn val="ctr"/>
        <c:lblOffset val="100"/>
        <c:noMultiLvlLbl val="0"/>
      </c:catAx>
      <c:valAx>
        <c:axId val="743343216"/>
        <c:scaling>
          <c:orientation val="minMax"/>
        </c:scaling>
        <c:delete val="1"/>
        <c:axPos val="l"/>
        <c:numFmt formatCode="_(&quot;$&quot;* #,##0_);_(&quot;$&quot;* \(#,##0\);_(&quot;$&quot;* &quot;-&quot;??_);_(@_)" sourceLinked="1"/>
        <c:majorTickMark val="none"/>
        <c:minorTickMark val="none"/>
        <c:tickLblPos val="nextTo"/>
        <c:crossAx val="743342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[Operations_LeadTime_Analysis report.xlsx]Pivot Table for Dashboard!Revenue Generated from Suppliers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Generated from Suppliers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stacked"/>
        <c:varyColors val="0"/>
        <c:ser>
          <c:idx val="0"/>
          <c:order val="0"/>
          <c:tx>
            <c:strRef>
              <c:f>'Pivot Table for Dashboard'!$B$106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 for Dashboard'!$A$107:$A$112</c:f>
              <c:strCache>
                <c:ptCount val="5"/>
                <c:pt idx="0">
                  <c:v>Supplier 1</c:v>
                </c:pt>
                <c:pt idx="1">
                  <c:v>Supplier 3</c:v>
                </c:pt>
                <c:pt idx="2">
                  <c:v>Supplier 5</c:v>
                </c:pt>
                <c:pt idx="3">
                  <c:v>Supplier 2</c:v>
                </c:pt>
                <c:pt idx="4">
                  <c:v>Supplier 4</c:v>
                </c:pt>
              </c:strCache>
            </c:strRef>
          </c:cat>
          <c:val>
            <c:numRef>
              <c:f>'Pivot Table for Dashboard'!$B$107:$B$112</c:f>
              <c:numCache>
                <c:formatCode>_("$"* #,##0_);_("$"* \(#,##0\);_("$"* "-"??_);_(@_)</c:formatCode>
                <c:ptCount val="5"/>
                <c:pt idx="0">
                  <c:v>96726.444476262419</c:v>
                </c:pt>
                <c:pt idx="1">
                  <c:v>61471.80734994448</c:v>
                </c:pt>
                <c:pt idx="2">
                  <c:v>41238.403934057453</c:v>
                </c:pt>
                <c:pt idx="3">
                  <c:v>23500.340091725939</c:v>
                </c:pt>
                <c:pt idx="4">
                  <c:v>18691.166281072728</c:v>
                </c:pt>
              </c:numCache>
            </c:numRef>
          </c:val>
          <c:extLst>
            <c:ext xmlns:c16="http://schemas.microsoft.com/office/drawing/2014/chart" uri="{C3380CC4-5D6E-409C-BE32-E72D297353CC}">
              <c16:uniqueId val="{00000000-D2FE-439C-A545-9A39FB1645EC}"/>
            </c:ext>
          </c:extLst>
        </c:ser>
        <c:dLbls>
          <c:showLegendKey val="0"/>
          <c:showVal val="1"/>
          <c:showCatName val="0"/>
          <c:showSerName val="0"/>
          <c:showPercent val="0"/>
          <c:showBubbleSize val="0"/>
        </c:dLbls>
        <c:gapWidth val="45"/>
        <c:overlap val="100"/>
        <c:axId val="743344000"/>
        <c:axId val="743344392"/>
      </c:barChart>
      <c:catAx>
        <c:axId val="743344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44392"/>
        <c:crosses val="autoZero"/>
        <c:auto val="1"/>
        <c:lblAlgn val="ctr"/>
        <c:lblOffset val="100"/>
        <c:noMultiLvlLbl val="0"/>
      </c:catAx>
      <c:valAx>
        <c:axId val="743344392"/>
        <c:scaling>
          <c:orientation val="minMax"/>
        </c:scaling>
        <c:delete val="1"/>
        <c:axPos val="l"/>
        <c:numFmt formatCode="_(&quot;$&quot;* #,##0_);_(&quot;$&quot;* \(#,##0\);_(&quot;$&quot;* &quot;-&quot;??_);_(@_)" sourceLinked="1"/>
        <c:majorTickMark val="none"/>
        <c:minorTickMark val="none"/>
        <c:tickLblPos val="nextTo"/>
        <c:crossAx val="743344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[Operations_LeadTime_Analysis report.xlsx]Pivot Table for Dashboard!PivotTable3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Lead Time by Carriers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409011373578303E-3"/>
              <c:y val="-0.20659995625546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427405949256343"/>
              <c:y val="0.12914406532516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75962379702532"/>
              <c:y val="0.12498140857392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305271216097988"/>
          <c:y val="0.21153834937299501"/>
          <c:w val="0.3389459755030621"/>
          <c:h val="0.56490995917177023"/>
        </c:manualLayout>
      </c:layout>
      <c:pieChart>
        <c:varyColors val="1"/>
        <c:ser>
          <c:idx val="0"/>
          <c:order val="0"/>
          <c:tx>
            <c:strRef>
              <c:f>'Pivot Table for Dashboard'!$B$124</c:f>
              <c:strCache>
                <c:ptCount val="1"/>
                <c:pt idx="0">
                  <c:v>Total</c:v>
                </c:pt>
              </c:strCache>
            </c:strRef>
          </c:tx>
          <c:dPt>
            <c:idx val="0"/>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94-45B9-BA8D-C47B557CA60F}"/>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94-45B9-BA8D-C47B557CA60F}"/>
              </c:ext>
            </c:extLst>
          </c:dPt>
          <c:dPt>
            <c:idx val="2"/>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94-45B9-BA8D-C47B557CA60F}"/>
              </c:ext>
            </c:extLst>
          </c:dPt>
          <c:dLbls>
            <c:dLbl>
              <c:idx val="0"/>
              <c:layout>
                <c:manualLayout>
                  <c:x val="-0.11427405949256343"/>
                  <c:y val="0.129144065325167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94-45B9-BA8D-C47B557CA60F}"/>
                </c:ext>
              </c:extLst>
            </c:dLbl>
            <c:dLbl>
              <c:idx val="1"/>
              <c:layout>
                <c:manualLayout>
                  <c:x val="2.0409011373578303E-3"/>
                  <c:y val="-0.206599956255468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294-45B9-BA8D-C47B557CA60F}"/>
                </c:ext>
              </c:extLst>
            </c:dLbl>
            <c:dLbl>
              <c:idx val="2"/>
              <c:layout>
                <c:manualLayout>
                  <c:x val="0.11075962379702532"/>
                  <c:y val="0.124981408573928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294-45B9-BA8D-C47B557CA6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 for Dashboard'!$A$125:$A$128</c:f>
              <c:strCache>
                <c:ptCount val="3"/>
                <c:pt idx="0">
                  <c:v>Carrier A</c:v>
                </c:pt>
                <c:pt idx="1">
                  <c:v>Carrier B</c:v>
                </c:pt>
                <c:pt idx="2">
                  <c:v>Carrier C</c:v>
                </c:pt>
              </c:strCache>
            </c:strRef>
          </c:cat>
          <c:val>
            <c:numRef>
              <c:f>'Pivot Table for Dashboard'!$B$125:$B$128</c:f>
              <c:numCache>
                <c:formatCode>0</c:formatCode>
                <c:ptCount val="3"/>
                <c:pt idx="0">
                  <c:v>513</c:v>
                </c:pt>
                <c:pt idx="1">
                  <c:v>698</c:v>
                </c:pt>
                <c:pt idx="2">
                  <c:v>497</c:v>
                </c:pt>
              </c:numCache>
            </c:numRef>
          </c:val>
          <c:extLst>
            <c:ext xmlns:c16="http://schemas.microsoft.com/office/drawing/2014/chart" uri="{C3380CC4-5D6E-409C-BE32-E72D297353CC}">
              <c16:uniqueId val="{00000006-8294-45B9-BA8D-C47B557CA60F}"/>
            </c:ext>
          </c:extLst>
        </c:ser>
        <c:dLbls>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28719991251093613"/>
          <c:y val="0.81726851851851856"/>
          <c:w val="0.42560017497812774"/>
          <c:h val="7.812554680664918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Reversed" id="24">
  <a:schemeClr val="accent4"/>
</cs:colorStyle>
</file>

<file path=xl/charts/colors23.xml><?xml version="1.0" encoding="utf-8"?>
<cs:colorStyle xmlns:cs="http://schemas.microsoft.com/office/drawing/2012/chartStyle" xmlns:a="http://schemas.openxmlformats.org/drawingml/2006/main" meth="withinLinearReversed" id="24">
  <a:schemeClr val="accent4"/>
</cs:colorStyle>
</file>

<file path=xl/charts/colors24.xml><?xml version="1.0" encoding="utf-8"?>
<cs:colorStyle xmlns:cs="http://schemas.microsoft.com/office/drawing/2012/chartStyle" xmlns:a="http://schemas.openxmlformats.org/drawingml/2006/main" meth="withinLinearReversed" id="24">
  <a:schemeClr val="accent4"/>
</cs:colorStyle>
</file>

<file path=xl/charts/colors25.xml><?xml version="1.0" encoding="utf-8"?>
<cs:colorStyle xmlns:cs="http://schemas.microsoft.com/office/drawing/2012/chartStyle" xmlns:a="http://schemas.openxmlformats.org/drawingml/2006/main" meth="withinLinearReversed" id="24">
  <a:schemeClr val="accent4"/>
</cs:colorStyle>
</file>

<file path=xl/charts/colors2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180974</xdr:rowOff>
    </xdr:from>
    <xdr:to>
      <xdr:col>5</xdr:col>
      <xdr:colOff>12000</xdr:colOff>
      <xdr:row>11</xdr:row>
      <xdr:rowOff>96974</xdr:rowOff>
    </xdr:to>
    <xdr:sp macro="" textlink="Analysis!$AD$1">
      <xdr:nvSpPr>
        <xdr:cNvPr id="2" name="Rectangle: Rounded Corners 1">
          <a:extLst>
            <a:ext uri="{FF2B5EF4-FFF2-40B4-BE49-F238E27FC236}">
              <a16:creationId xmlns:a16="http://schemas.microsoft.com/office/drawing/2014/main" id="{540C3B38-7A51-4900-9AEC-CD2477E91CE3}"/>
            </a:ext>
          </a:extLst>
        </xdr:cNvPr>
        <xdr:cNvSpPr/>
      </xdr:nvSpPr>
      <xdr:spPr>
        <a:xfrm>
          <a:off x="0" y="561974"/>
          <a:ext cx="3060000" cy="14400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nchorCtr="1"/>
        <a:lstStyle/>
        <a:p>
          <a:pPr algn="l"/>
          <a:fld id="{5C98EA19-CF2D-4393-8A11-D87E77DAF8AB}" type="TxLink">
            <a:rPr lang="en-US" sz="3200" b="1" i="0" u="none" strike="noStrike">
              <a:solidFill>
                <a:srgbClr val="000000"/>
              </a:solidFill>
              <a:effectLst>
                <a:outerShdw blurRad="50800" dist="38100" dir="2700000" algn="tl" rotWithShape="0">
                  <a:prstClr val="black">
                    <a:alpha val="40000"/>
                  </a:prstClr>
                </a:outerShdw>
              </a:effectLst>
              <a:latin typeface="Calibri"/>
              <a:cs typeface="Calibri"/>
            </a:rPr>
            <a:pPr algn="l"/>
            <a:t>₹ 5,77,605</a:t>
          </a:fld>
          <a:endParaRPr lang="en-IN" sz="3200" b="1">
            <a:effectLst>
              <a:outerShdw blurRad="50800" dist="38100" dir="2700000" algn="tl" rotWithShape="0">
                <a:prstClr val="black">
                  <a:alpha val="40000"/>
                </a:prstClr>
              </a:outerShdw>
            </a:effectLst>
          </a:endParaRPr>
        </a:p>
      </xdr:txBody>
    </xdr:sp>
    <xdr:clientData/>
  </xdr:twoCellAnchor>
  <xdr:twoCellAnchor editAs="oneCell">
    <xdr:from>
      <xdr:col>0</xdr:col>
      <xdr:colOff>123825</xdr:colOff>
      <xdr:row>4</xdr:row>
      <xdr:rowOff>161925</xdr:rowOff>
    </xdr:from>
    <xdr:to>
      <xdr:col>2</xdr:col>
      <xdr:colOff>233668</xdr:colOff>
      <xdr:row>6</xdr:row>
      <xdr:rowOff>79655</xdr:rowOff>
    </xdr:to>
    <xdr:pic>
      <xdr:nvPicPr>
        <xdr:cNvPr id="3" name="Picture 2">
          <a:extLst>
            <a:ext uri="{FF2B5EF4-FFF2-40B4-BE49-F238E27FC236}">
              <a16:creationId xmlns:a16="http://schemas.microsoft.com/office/drawing/2014/main" id="{323CAAB5-1FE6-4120-063B-BBD9DF6A8AC9}"/>
            </a:ext>
          </a:extLst>
        </xdr:cNvPr>
        <xdr:cNvPicPr>
          <a:picLocks noChangeAspect="1"/>
        </xdr:cNvPicPr>
      </xdr:nvPicPr>
      <xdr:blipFill>
        <a:blip xmlns:r="http://schemas.openxmlformats.org/officeDocument/2006/relationships" r:embed="rId1"/>
        <a:stretch>
          <a:fillRect/>
        </a:stretch>
      </xdr:blipFill>
      <xdr:spPr>
        <a:xfrm>
          <a:off x="123825" y="1047750"/>
          <a:ext cx="1329043" cy="298730"/>
        </a:xfrm>
        <a:prstGeom prst="rect">
          <a:avLst/>
        </a:prstGeom>
      </xdr:spPr>
    </xdr:pic>
    <xdr:clientData/>
  </xdr:twoCellAnchor>
  <xdr:twoCellAnchor>
    <xdr:from>
      <xdr:col>5</xdr:col>
      <xdr:colOff>90487</xdr:colOff>
      <xdr:row>3</xdr:row>
      <xdr:rowOff>180974</xdr:rowOff>
    </xdr:from>
    <xdr:to>
      <xdr:col>10</xdr:col>
      <xdr:colOff>102487</xdr:colOff>
      <xdr:row>11</xdr:row>
      <xdr:rowOff>96974</xdr:rowOff>
    </xdr:to>
    <xdr:sp macro="" textlink="Analysis!$AD$3">
      <xdr:nvSpPr>
        <xdr:cNvPr id="4" name="Rectangle: Rounded Corners 3">
          <a:extLst>
            <a:ext uri="{FF2B5EF4-FFF2-40B4-BE49-F238E27FC236}">
              <a16:creationId xmlns:a16="http://schemas.microsoft.com/office/drawing/2014/main" id="{A7225C5D-6D1B-48BA-9223-8FB8B7400AA8}"/>
            </a:ext>
          </a:extLst>
        </xdr:cNvPr>
        <xdr:cNvSpPr/>
      </xdr:nvSpPr>
      <xdr:spPr>
        <a:xfrm>
          <a:off x="3138487" y="561974"/>
          <a:ext cx="3060000" cy="14400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nchorCtr="1"/>
        <a:lstStyle/>
        <a:p>
          <a:pPr algn="l"/>
          <a:fld id="{01664E82-1BA1-464A-A42C-0138E0BB7377}" type="TxLink">
            <a:rPr lang="en-US" sz="3200" b="1" i="0" u="none" strike="noStrike">
              <a:solidFill>
                <a:srgbClr val="000000"/>
              </a:solidFill>
              <a:effectLst>
                <a:outerShdw blurRad="50800" dist="38100" dir="2700000" algn="tl" rotWithShape="0">
                  <a:prstClr val="black">
                    <a:alpha val="40000"/>
                  </a:prstClr>
                </a:outerShdw>
              </a:effectLst>
              <a:latin typeface="Calibri"/>
              <a:cs typeface="Calibri"/>
            </a:rPr>
            <a:pPr algn="l"/>
            <a:t>45,472</a:t>
          </a:fld>
          <a:endParaRPr lang="en-IN" sz="3200" b="1">
            <a:effectLst>
              <a:outerShdw blurRad="50800" dist="38100" dir="2700000" algn="tl" rotWithShape="0">
                <a:prstClr val="black">
                  <a:alpha val="40000"/>
                </a:prstClr>
              </a:outerShdw>
            </a:effectLst>
          </a:endParaRPr>
        </a:p>
      </xdr:txBody>
    </xdr:sp>
    <xdr:clientData/>
  </xdr:twoCellAnchor>
  <xdr:twoCellAnchor>
    <xdr:from>
      <xdr:col>5</xdr:col>
      <xdr:colOff>466725</xdr:colOff>
      <xdr:row>4</xdr:row>
      <xdr:rowOff>95250</xdr:rowOff>
    </xdr:from>
    <xdr:to>
      <xdr:col>8</xdr:col>
      <xdr:colOff>581025</xdr:colOff>
      <xdr:row>6</xdr:row>
      <xdr:rowOff>0</xdr:rowOff>
    </xdr:to>
    <xdr:sp macro="" textlink="">
      <xdr:nvSpPr>
        <xdr:cNvPr id="5" name="TextBox 4">
          <a:extLst>
            <a:ext uri="{FF2B5EF4-FFF2-40B4-BE49-F238E27FC236}">
              <a16:creationId xmlns:a16="http://schemas.microsoft.com/office/drawing/2014/main" id="{F3C3F7EF-87FD-44A7-8232-785AAA1E6672}"/>
            </a:ext>
          </a:extLst>
        </xdr:cNvPr>
        <xdr:cNvSpPr txBox="1"/>
      </xdr:nvSpPr>
      <xdr:spPr>
        <a:xfrm>
          <a:off x="3514725" y="666750"/>
          <a:ext cx="19431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Products Sold</a:t>
          </a:r>
        </a:p>
      </xdr:txBody>
    </xdr:sp>
    <xdr:clientData/>
  </xdr:twoCellAnchor>
  <xdr:twoCellAnchor>
    <xdr:from>
      <xdr:col>10</xdr:col>
      <xdr:colOff>180974</xdr:colOff>
      <xdr:row>3</xdr:row>
      <xdr:rowOff>180974</xdr:rowOff>
    </xdr:from>
    <xdr:to>
      <xdr:col>15</xdr:col>
      <xdr:colOff>192974</xdr:colOff>
      <xdr:row>11</xdr:row>
      <xdr:rowOff>96974</xdr:rowOff>
    </xdr:to>
    <xdr:sp macro="" textlink="Analysis!$AD$5">
      <xdr:nvSpPr>
        <xdr:cNvPr id="6" name="Rectangle: Rounded Corners 5">
          <a:extLst>
            <a:ext uri="{FF2B5EF4-FFF2-40B4-BE49-F238E27FC236}">
              <a16:creationId xmlns:a16="http://schemas.microsoft.com/office/drawing/2014/main" id="{EF64DC2F-F5DD-489A-9D73-F3BF78E55E53}"/>
            </a:ext>
          </a:extLst>
        </xdr:cNvPr>
        <xdr:cNvSpPr/>
      </xdr:nvSpPr>
      <xdr:spPr>
        <a:xfrm>
          <a:off x="6276974" y="561974"/>
          <a:ext cx="3060000" cy="14400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nchorCtr="1"/>
        <a:lstStyle/>
        <a:p>
          <a:pPr algn="l"/>
          <a:fld id="{2F632FCE-0B4A-4626-AD1F-A0E792D676D6}" type="TxLink">
            <a:rPr lang="en-US" sz="3200" b="1" i="0" u="none" strike="noStrike">
              <a:ln>
                <a:noFill/>
              </a:ln>
              <a:solidFill>
                <a:srgbClr val="000000"/>
              </a:solidFill>
              <a:effectLst>
                <a:outerShdw blurRad="50800" dist="38100" dir="2700000" algn="tl" rotWithShape="0">
                  <a:prstClr val="black">
                    <a:alpha val="40000"/>
                  </a:prstClr>
                </a:outerShdw>
              </a:effectLst>
              <a:latin typeface="Calibri"/>
              <a:cs typeface="Calibri"/>
            </a:rPr>
            <a:pPr algn="l"/>
            <a:t>56,784</a:t>
          </a:fld>
          <a:endParaRPr lang="en-IN" sz="3200" b="1">
            <a:ln>
              <a:noFill/>
            </a:ln>
            <a:effectLst>
              <a:outerShdw blurRad="50800" dist="38100" dir="2700000" algn="tl" rotWithShape="0">
                <a:prstClr val="black">
                  <a:alpha val="40000"/>
                </a:prstClr>
              </a:outerShdw>
            </a:effectLst>
          </a:endParaRPr>
        </a:p>
      </xdr:txBody>
    </xdr:sp>
    <xdr:clientData/>
  </xdr:twoCellAnchor>
  <xdr:twoCellAnchor>
    <xdr:from>
      <xdr:col>10</xdr:col>
      <xdr:colOff>457200</xdr:colOff>
      <xdr:row>4</xdr:row>
      <xdr:rowOff>85725</xdr:rowOff>
    </xdr:from>
    <xdr:to>
      <xdr:col>14</xdr:col>
      <xdr:colOff>171450</xdr:colOff>
      <xdr:row>5</xdr:row>
      <xdr:rowOff>133350</xdr:rowOff>
    </xdr:to>
    <xdr:sp macro="" textlink="">
      <xdr:nvSpPr>
        <xdr:cNvPr id="7" name="TextBox 6">
          <a:extLst>
            <a:ext uri="{FF2B5EF4-FFF2-40B4-BE49-F238E27FC236}">
              <a16:creationId xmlns:a16="http://schemas.microsoft.com/office/drawing/2014/main" id="{801F7835-8D09-4638-B167-408183DE4E96}"/>
            </a:ext>
          </a:extLst>
        </xdr:cNvPr>
        <xdr:cNvSpPr txBox="1"/>
      </xdr:nvSpPr>
      <xdr:spPr>
        <a:xfrm>
          <a:off x="6553200" y="657225"/>
          <a:ext cx="215265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dk1"/>
              </a:solidFill>
            </a:rPr>
            <a:t>Total Production Volume</a:t>
          </a:r>
        </a:p>
      </xdr:txBody>
    </xdr:sp>
    <xdr:clientData/>
  </xdr:twoCellAnchor>
  <xdr:twoCellAnchor>
    <xdr:from>
      <xdr:col>0</xdr:col>
      <xdr:colOff>0</xdr:colOff>
      <xdr:row>17</xdr:row>
      <xdr:rowOff>47625</xdr:rowOff>
    </xdr:from>
    <xdr:to>
      <xdr:col>8</xdr:col>
      <xdr:colOff>163200</xdr:colOff>
      <xdr:row>38</xdr:row>
      <xdr:rowOff>49125</xdr:rowOff>
    </xdr:to>
    <xdr:graphicFrame macro="">
      <xdr:nvGraphicFramePr>
        <xdr:cNvPr id="9" name="Chart 43">
          <a:extLst>
            <a:ext uri="{FF2B5EF4-FFF2-40B4-BE49-F238E27FC236}">
              <a16:creationId xmlns:a16="http://schemas.microsoft.com/office/drawing/2014/main" id="{2E944831-4E54-4A32-8D8B-B549C9D49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476250</xdr:colOff>
      <xdr:row>13</xdr:row>
      <xdr:rowOff>171450</xdr:rowOff>
    </xdr:from>
    <xdr:to>
      <xdr:col>15</xdr:col>
      <xdr:colOff>95250</xdr:colOff>
      <xdr:row>17</xdr:row>
      <xdr:rowOff>66676</xdr:rowOff>
    </xdr:to>
    <mc:AlternateContent xmlns:mc="http://schemas.openxmlformats.org/markup-compatibility/2006" xmlns:a14="http://schemas.microsoft.com/office/drawing/2010/main">
      <mc:Choice Requires="a14">
        <xdr:graphicFrame macro="">
          <xdr:nvGraphicFramePr>
            <xdr:cNvPr id="10" name="Product type 1">
              <a:extLst>
                <a:ext uri="{FF2B5EF4-FFF2-40B4-BE49-F238E27FC236}">
                  <a16:creationId xmlns:a16="http://schemas.microsoft.com/office/drawing/2014/main" id="{C3926736-CB69-4FC8-871A-82B5B391D1A4}"/>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5349506" y="2995723"/>
              <a:ext cx="3883099" cy="648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200025</xdr:colOff>
      <xdr:row>17</xdr:row>
      <xdr:rowOff>38100</xdr:rowOff>
    </xdr:from>
    <xdr:to>
      <xdr:col>16</xdr:col>
      <xdr:colOff>361950</xdr:colOff>
      <xdr:row>38</xdr:row>
      <xdr:rowOff>39600</xdr:rowOff>
    </xdr:to>
    <xdr:graphicFrame macro="">
      <xdr:nvGraphicFramePr>
        <xdr:cNvPr id="12" name="Chart 9">
          <a:extLst>
            <a:ext uri="{FF2B5EF4-FFF2-40B4-BE49-F238E27FC236}">
              <a16:creationId xmlns:a16="http://schemas.microsoft.com/office/drawing/2014/main" id="{857A2C98-784D-4C46-8059-AE3710F52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55377</xdr:colOff>
      <xdr:row>56</xdr:row>
      <xdr:rowOff>88605</xdr:rowOff>
    </xdr:from>
    <xdr:to>
      <xdr:col>12</xdr:col>
      <xdr:colOff>103002</xdr:colOff>
      <xdr:row>59</xdr:row>
      <xdr:rowOff>145754</xdr:rowOff>
    </xdr:to>
    <mc:AlternateContent xmlns:mc="http://schemas.openxmlformats.org/markup-compatibility/2006" xmlns:a14="http://schemas.microsoft.com/office/drawing/2010/main">
      <mc:Choice Requires="a14">
        <xdr:graphicFrame macro="">
          <xdr:nvGraphicFramePr>
            <xdr:cNvPr id="13" name="Shipping carriers">
              <a:extLst>
                <a:ext uri="{FF2B5EF4-FFF2-40B4-BE49-F238E27FC236}">
                  <a16:creationId xmlns:a16="http://schemas.microsoft.com/office/drawing/2014/main" id="{4ECDAE67-FEF6-4FE8-A3CA-4CCD826E9516}"/>
                </a:ext>
              </a:extLst>
            </xdr:cNvPr>
            <xdr:cNvGraphicFramePr/>
          </xdr:nvGraphicFramePr>
          <xdr:xfrm>
            <a:off x="0" y="0"/>
            <a:ext cx="0" cy="0"/>
          </xdr:xfrm>
          <a:graphic>
            <a:graphicData uri="http://schemas.microsoft.com/office/drawing/2010/slicer">
              <sle:slicer xmlns:sle="http://schemas.microsoft.com/office/drawing/2010/slicer" name="Shipping carriers"/>
            </a:graphicData>
          </a:graphic>
        </xdr:graphicFrame>
      </mc:Choice>
      <mc:Fallback xmlns="">
        <xdr:sp macro="" textlink="">
          <xdr:nvSpPr>
            <xdr:cNvPr id="0" name=""/>
            <xdr:cNvSpPr>
              <a:spLocks noTextEdit="1"/>
            </xdr:cNvSpPr>
          </xdr:nvSpPr>
          <xdr:spPr>
            <a:xfrm>
              <a:off x="3101162" y="11009128"/>
              <a:ext cx="4311724" cy="622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60</xdr:row>
      <xdr:rowOff>0</xdr:rowOff>
    </xdr:from>
    <xdr:to>
      <xdr:col>8</xdr:col>
      <xdr:colOff>163200</xdr:colOff>
      <xdr:row>79</xdr:row>
      <xdr:rowOff>1500</xdr:rowOff>
    </xdr:to>
    <xdr:graphicFrame macro="">
      <xdr:nvGraphicFramePr>
        <xdr:cNvPr id="14" name="Chart 35">
          <a:extLst>
            <a:ext uri="{FF2B5EF4-FFF2-40B4-BE49-F238E27FC236}">
              <a16:creationId xmlns:a16="http://schemas.microsoft.com/office/drawing/2014/main" id="{611A78E2-0B96-4328-AB24-F15EDA1CB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123825</xdr:colOff>
      <xdr:row>60</xdr:row>
      <xdr:rowOff>57150</xdr:rowOff>
    </xdr:from>
    <xdr:to>
      <xdr:col>16</xdr:col>
      <xdr:colOff>287025</xdr:colOff>
      <xdr:row>79</xdr:row>
      <xdr:rowOff>58650</xdr:rowOff>
    </xdr:to>
    <xdr:graphicFrame macro="">
      <xdr:nvGraphicFramePr>
        <xdr:cNvPr id="15" name="Chart 14">
          <a:extLst>
            <a:ext uri="{FF2B5EF4-FFF2-40B4-BE49-F238E27FC236}">
              <a16:creationId xmlns:a16="http://schemas.microsoft.com/office/drawing/2014/main" id="{C61E63E3-6264-4275-BBB6-D16F46A03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79</xdr:row>
      <xdr:rowOff>0</xdr:rowOff>
    </xdr:from>
    <xdr:to>
      <xdr:col>7</xdr:col>
      <xdr:colOff>295275</xdr:colOff>
      <xdr:row>82</xdr:row>
      <xdr:rowOff>85726</xdr:rowOff>
    </xdr:to>
    <mc:AlternateContent xmlns:mc="http://schemas.openxmlformats.org/markup-compatibility/2006" xmlns:a14="http://schemas.microsoft.com/office/drawing/2010/main">
      <mc:Choice Requires="a14">
        <xdr:graphicFrame macro="">
          <xdr:nvGraphicFramePr>
            <xdr:cNvPr id="16" name="Product type 2">
              <a:extLst>
                <a:ext uri="{FF2B5EF4-FFF2-40B4-BE49-F238E27FC236}">
                  <a16:creationId xmlns:a16="http://schemas.microsoft.com/office/drawing/2014/main" id="{A7B44066-AAD7-4094-9FF4-9846884841BF}"/>
                </a:ext>
              </a:extLst>
            </xdr:cNvPr>
            <xdr:cNvGraphicFramePr/>
          </xdr:nvGraphicFramePr>
          <xdr:xfrm>
            <a:off x="0" y="0"/>
            <a:ext cx="0" cy="0"/>
          </xdr:xfrm>
          <a:graphic>
            <a:graphicData uri="http://schemas.microsoft.com/office/drawing/2010/slicer">
              <sle:slicer xmlns:sle="http://schemas.microsoft.com/office/drawing/2010/slicer" name="Product type 2"/>
            </a:graphicData>
          </a:graphic>
        </xdr:graphicFrame>
      </mc:Choice>
      <mc:Fallback xmlns="">
        <xdr:sp macro="" textlink="">
          <xdr:nvSpPr>
            <xdr:cNvPr id="0" name=""/>
            <xdr:cNvSpPr>
              <a:spLocks noTextEdit="1"/>
            </xdr:cNvSpPr>
          </xdr:nvSpPr>
          <xdr:spPr>
            <a:xfrm>
              <a:off x="0" y="15251076"/>
              <a:ext cx="4559374" cy="65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82</xdr:row>
      <xdr:rowOff>76200</xdr:rowOff>
    </xdr:from>
    <xdr:to>
      <xdr:col>8</xdr:col>
      <xdr:colOff>163200</xdr:colOff>
      <xdr:row>100</xdr:row>
      <xdr:rowOff>77700</xdr:rowOff>
    </xdr:to>
    <xdr:graphicFrame macro="">
      <xdr:nvGraphicFramePr>
        <xdr:cNvPr id="17" name="Chart 40">
          <a:extLst>
            <a:ext uri="{FF2B5EF4-FFF2-40B4-BE49-F238E27FC236}">
              <a16:creationId xmlns:a16="http://schemas.microsoft.com/office/drawing/2014/main" id="{260ABE99-58A8-49ED-8E7A-A5868BF66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400050</xdr:colOff>
      <xdr:row>82</xdr:row>
      <xdr:rowOff>76200</xdr:rowOff>
    </xdr:from>
    <xdr:to>
      <xdr:col>16</xdr:col>
      <xdr:colOff>563250</xdr:colOff>
      <xdr:row>100</xdr:row>
      <xdr:rowOff>77700</xdr:rowOff>
    </xdr:to>
    <xdr:graphicFrame macro="">
      <xdr:nvGraphicFramePr>
        <xdr:cNvPr id="18" name="Chart 36">
          <a:extLst>
            <a:ext uri="{FF2B5EF4-FFF2-40B4-BE49-F238E27FC236}">
              <a16:creationId xmlns:a16="http://schemas.microsoft.com/office/drawing/2014/main" id="{B8917DFE-F2F8-426B-ABAA-2B9E8697D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285750</xdr:colOff>
      <xdr:row>17</xdr:row>
      <xdr:rowOff>57150</xdr:rowOff>
    </xdr:from>
    <xdr:to>
      <xdr:col>24</xdr:col>
      <xdr:colOff>448950</xdr:colOff>
      <xdr:row>38</xdr:row>
      <xdr:rowOff>58650</xdr:rowOff>
    </xdr:to>
    <xdr:graphicFrame macro="">
      <xdr:nvGraphicFramePr>
        <xdr:cNvPr id="19" name="Chart 2">
          <a:extLst>
            <a:ext uri="{FF2B5EF4-FFF2-40B4-BE49-F238E27FC236}">
              <a16:creationId xmlns:a16="http://schemas.microsoft.com/office/drawing/2014/main" id="{1D082969-772A-4B1E-AAC6-CF528BCB0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200025</xdr:colOff>
      <xdr:row>60</xdr:row>
      <xdr:rowOff>0</xdr:rowOff>
    </xdr:from>
    <xdr:to>
      <xdr:col>24</xdr:col>
      <xdr:colOff>363225</xdr:colOff>
      <xdr:row>79</xdr:row>
      <xdr:rowOff>1500</xdr:rowOff>
    </xdr:to>
    <xdr:graphicFrame macro="">
      <xdr:nvGraphicFramePr>
        <xdr:cNvPr id="20" name="Chart 19">
          <a:extLst>
            <a:ext uri="{FF2B5EF4-FFF2-40B4-BE49-F238E27FC236}">
              <a16:creationId xmlns:a16="http://schemas.microsoft.com/office/drawing/2014/main" id="{1F058298-3BCB-4B29-8D02-A00618650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38100</xdr:colOff>
      <xdr:row>100</xdr:row>
      <xdr:rowOff>0</xdr:rowOff>
    </xdr:from>
    <xdr:to>
      <xdr:col>4</xdr:col>
      <xdr:colOff>542925</xdr:colOff>
      <xdr:row>104</xdr:row>
      <xdr:rowOff>133350</xdr:rowOff>
    </xdr:to>
    <xdr:sp macro="" textlink="Analysis!$AD$8">
      <xdr:nvSpPr>
        <xdr:cNvPr id="21" name="Rectangle: Rounded Corners 20">
          <a:extLst>
            <a:ext uri="{FF2B5EF4-FFF2-40B4-BE49-F238E27FC236}">
              <a16:creationId xmlns:a16="http://schemas.microsoft.com/office/drawing/2014/main" id="{EF0484A1-F12E-4B17-B221-B5380FEA78B2}"/>
            </a:ext>
          </a:extLst>
        </xdr:cNvPr>
        <xdr:cNvSpPr/>
      </xdr:nvSpPr>
      <xdr:spPr>
        <a:xfrm>
          <a:off x="38100" y="13677900"/>
          <a:ext cx="2943225" cy="74295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nchorCtr="1"/>
        <a:lstStyle/>
        <a:p>
          <a:pPr algn="l"/>
          <a:fld id="{EDE0CFAE-15A9-41B8-8560-4B4A6FCE38F8}" type="TxLink">
            <a:rPr lang="en-US" sz="3200" b="1" i="0" u="none" strike="noStrike">
              <a:solidFill>
                <a:srgbClr val="000000"/>
              </a:solidFill>
              <a:effectLst>
                <a:outerShdw blurRad="50800" dist="50800" dir="7200000" algn="ctr" rotWithShape="0">
                  <a:srgbClr val="000000">
                    <a:alpha val="43137"/>
                  </a:srgbClr>
                </a:outerShdw>
              </a:effectLst>
              <a:latin typeface="Calibri"/>
              <a:cs typeface="Calibri"/>
            </a:rPr>
            <a:pPr algn="l"/>
            <a:t>48</a:t>
          </a:fld>
          <a:endParaRPr lang="en-IN" sz="3200" b="1">
            <a:effectLst>
              <a:outerShdw blurRad="50800" dist="50800" dir="7200000" algn="ctr" rotWithShape="0">
                <a:srgbClr val="000000">
                  <a:alpha val="43137"/>
                </a:srgbClr>
              </a:outerShdw>
            </a:effectLst>
          </a:endParaRPr>
        </a:p>
      </xdr:txBody>
    </xdr:sp>
    <xdr:clientData/>
  </xdr:twoCellAnchor>
  <xdr:twoCellAnchor>
    <xdr:from>
      <xdr:col>0</xdr:col>
      <xdr:colOff>38100</xdr:colOff>
      <xdr:row>100</xdr:row>
      <xdr:rowOff>0</xdr:rowOff>
    </xdr:from>
    <xdr:to>
      <xdr:col>3</xdr:col>
      <xdr:colOff>323850</xdr:colOff>
      <xdr:row>101</xdr:row>
      <xdr:rowOff>76200</xdr:rowOff>
    </xdr:to>
    <xdr:sp macro="" textlink="">
      <xdr:nvSpPr>
        <xdr:cNvPr id="22" name="TextBox 21">
          <a:extLst>
            <a:ext uri="{FF2B5EF4-FFF2-40B4-BE49-F238E27FC236}">
              <a16:creationId xmlns:a16="http://schemas.microsoft.com/office/drawing/2014/main" id="{F12EAAC3-C9DA-459A-AB4F-23357D1CB6D6}"/>
            </a:ext>
          </a:extLst>
        </xdr:cNvPr>
        <xdr:cNvSpPr txBox="1"/>
      </xdr:nvSpPr>
      <xdr:spPr>
        <a:xfrm>
          <a:off x="38100" y="15411450"/>
          <a:ext cx="2114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Total Lead Time</a:t>
          </a:r>
          <a:r>
            <a:rPr lang="en-IN" sz="1100" b="1" baseline="0"/>
            <a:t> (Days)</a:t>
          </a:r>
          <a:endParaRPr lang="en-IN" sz="1100" b="1"/>
        </a:p>
      </xdr:txBody>
    </xdr:sp>
    <xdr:clientData/>
  </xdr:twoCellAnchor>
  <xdr:twoCellAnchor>
    <xdr:from>
      <xdr:col>5</xdr:col>
      <xdr:colOff>114300</xdr:colOff>
      <xdr:row>100</xdr:row>
      <xdr:rowOff>0</xdr:rowOff>
    </xdr:from>
    <xdr:to>
      <xdr:col>10</xdr:col>
      <xdr:colOff>85725</xdr:colOff>
      <xdr:row>104</xdr:row>
      <xdr:rowOff>142875</xdr:rowOff>
    </xdr:to>
    <xdr:sp macro="" textlink="Analysis!$AD$10">
      <xdr:nvSpPr>
        <xdr:cNvPr id="23" name="Rectangle: Rounded Corners 22">
          <a:extLst>
            <a:ext uri="{FF2B5EF4-FFF2-40B4-BE49-F238E27FC236}">
              <a16:creationId xmlns:a16="http://schemas.microsoft.com/office/drawing/2014/main" id="{8F1B0E66-4064-458A-A76A-9E4DFC3BF456}"/>
            </a:ext>
          </a:extLst>
        </xdr:cNvPr>
        <xdr:cNvSpPr/>
      </xdr:nvSpPr>
      <xdr:spPr>
        <a:xfrm>
          <a:off x="3162300" y="13696950"/>
          <a:ext cx="3019425" cy="733425"/>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nchorCtr="1"/>
        <a:lstStyle/>
        <a:p>
          <a:pPr algn="l"/>
          <a:fld id="{FB99F3D4-1316-4426-B28E-3CF5B5DBC298}" type="TxLink">
            <a:rPr lang="en-US" sz="2400" b="1" i="0" u="none" strike="noStrike">
              <a:solidFill>
                <a:srgbClr val="000000"/>
              </a:solidFill>
              <a:effectLst>
                <a:outerShdw blurRad="50800" dist="38100" dir="2700000" algn="tl" rotWithShape="0">
                  <a:prstClr val="black">
                    <a:alpha val="40000"/>
                  </a:prstClr>
                </a:outerShdw>
              </a:effectLst>
              <a:latin typeface="Calibri"/>
              <a:cs typeface="Calibri"/>
            </a:rPr>
            <a:pPr algn="l"/>
            <a:t>Skincare-83 days</a:t>
          </a:fld>
          <a:endParaRPr lang="en-IN" sz="2400" b="1">
            <a:effectLst>
              <a:outerShdw blurRad="50800" dist="38100" dir="2700000" algn="tl" rotWithShape="0">
                <a:prstClr val="black">
                  <a:alpha val="40000"/>
                </a:prstClr>
              </a:outerShdw>
            </a:effectLst>
          </a:endParaRPr>
        </a:p>
      </xdr:txBody>
    </xdr:sp>
    <xdr:clientData/>
  </xdr:twoCellAnchor>
  <xdr:twoCellAnchor>
    <xdr:from>
      <xdr:col>5</xdr:col>
      <xdr:colOff>152400</xdr:colOff>
      <xdr:row>100</xdr:row>
      <xdr:rowOff>0</xdr:rowOff>
    </xdr:from>
    <xdr:to>
      <xdr:col>9</xdr:col>
      <xdr:colOff>104775</xdr:colOff>
      <xdr:row>101</xdr:row>
      <xdr:rowOff>123825</xdr:rowOff>
    </xdr:to>
    <xdr:sp macro="" textlink="">
      <xdr:nvSpPr>
        <xdr:cNvPr id="24" name="TextBox 23">
          <a:extLst>
            <a:ext uri="{FF2B5EF4-FFF2-40B4-BE49-F238E27FC236}">
              <a16:creationId xmlns:a16="http://schemas.microsoft.com/office/drawing/2014/main" id="{C59A5DFF-77B1-4149-AB98-C08CE157DE8C}"/>
            </a:ext>
          </a:extLst>
        </xdr:cNvPr>
        <xdr:cNvSpPr txBox="1"/>
      </xdr:nvSpPr>
      <xdr:spPr>
        <a:xfrm>
          <a:off x="3200400" y="15411450"/>
          <a:ext cx="23907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t>Longest Lead Time Product</a:t>
          </a:r>
          <a:endParaRPr lang="en-IN" sz="1100" b="1"/>
        </a:p>
      </xdr:txBody>
    </xdr:sp>
    <xdr:clientData/>
  </xdr:twoCellAnchor>
  <xdr:twoCellAnchor>
    <xdr:from>
      <xdr:col>10</xdr:col>
      <xdr:colOff>304800</xdr:colOff>
      <xdr:row>100</xdr:row>
      <xdr:rowOff>0</xdr:rowOff>
    </xdr:from>
    <xdr:to>
      <xdr:col>16</xdr:col>
      <xdr:colOff>485775</xdr:colOff>
      <xdr:row>104</xdr:row>
      <xdr:rowOff>152400</xdr:rowOff>
    </xdr:to>
    <xdr:sp macro="" textlink="Analysis!$AD$14">
      <xdr:nvSpPr>
        <xdr:cNvPr id="25" name="Rectangle: Rounded Corners 24">
          <a:extLst>
            <a:ext uri="{FF2B5EF4-FFF2-40B4-BE49-F238E27FC236}">
              <a16:creationId xmlns:a16="http://schemas.microsoft.com/office/drawing/2014/main" id="{6DF78765-D5B8-2F73-4DB2-2CEF3BF3CD28}"/>
            </a:ext>
          </a:extLst>
        </xdr:cNvPr>
        <xdr:cNvSpPr/>
      </xdr:nvSpPr>
      <xdr:spPr>
        <a:xfrm>
          <a:off x="6400800" y="13696950"/>
          <a:ext cx="3838575" cy="74295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nchorCtr="1"/>
        <a:lstStyle/>
        <a:p>
          <a:pPr algn="l"/>
          <a:fld id="{1C2845B8-F796-4AB1-A47B-25A5EE21A086}" type="TxLink">
            <a:rPr lang="en-US" sz="1800" b="1" i="0" u="none" strike="noStrike">
              <a:solidFill>
                <a:srgbClr val="000000"/>
              </a:solidFill>
              <a:effectLst>
                <a:outerShdw blurRad="50800" dist="38100" dir="2700000" algn="tl" rotWithShape="0">
                  <a:prstClr val="black">
                    <a:alpha val="40000"/>
                  </a:prstClr>
                </a:outerShdw>
              </a:effectLst>
              <a:latin typeface="Calibri"/>
              <a:cs typeface="Calibri"/>
            </a:rPr>
            <a:pPr algn="l"/>
            <a:t>Supplier 1 - 15 Locations</a:t>
          </a:fld>
          <a:endParaRPr lang="en-IN" sz="1100">
            <a:effectLst>
              <a:outerShdw blurRad="50800" dist="38100" dir="2700000" algn="tl" rotWithShape="0">
                <a:prstClr val="black">
                  <a:alpha val="40000"/>
                </a:prstClr>
              </a:outerShdw>
            </a:effectLst>
          </a:endParaRPr>
        </a:p>
      </xdr:txBody>
    </xdr:sp>
    <xdr:clientData/>
  </xdr:twoCellAnchor>
  <xdr:twoCellAnchor>
    <xdr:from>
      <xdr:col>10</xdr:col>
      <xdr:colOff>438150</xdr:colOff>
      <xdr:row>100</xdr:row>
      <xdr:rowOff>1</xdr:rowOff>
    </xdr:from>
    <xdr:to>
      <xdr:col>14</xdr:col>
      <xdr:colOff>180975</xdr:colOff>
      <xdr:row>101</xdr:row>
      <xdr:rowOff>76201</xdr:rowOff>
    </xdr:to>
    <xdr:sp macro="" textlink="">
      <xdr:nvSpPr>
        <xdr:cNvPr id="26" name="TextBox 25">
          <a:extLst>
            <a:ext uri="{FF2B5EF4-FFF2-40B4-BE49-F238E27FC236}">
              <a16:creationId xmlns:a16="http://schemas.microsoft.com/office/drawing/2014/main" id="{09E5DDE2-268D-5890-149E-A11DFDDC3584}"/>
            </a:ext>
          </a:extLst>
        </xdr:cNvPr>
        <xdr:cNvSpPr txBox="1"/>
      </xdr:nvSpPr>
      <xdr:spPr>
        <a:xfrm>
          <a:off x="6534150" y="15411451"/>
          <a:ext cx="2181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Most Active</a:t>
          </a:r>
          <a:r>
            <a:rPr lang="en-IN" sz="1100" b="1" baseline="0"/>
            <a:t> Supplier</a:t>
          </a:r>
          <a:endParaRPr lang="en-IN" sz="1100" b="1"/>
        </a:p>
      </xdr:txBody>
    </xdr:sp>
    <xdr:clientData/>
  </xdr:twoCellAnchor>
  <xdr:twoCellAnchor>
    <xdr:from>
      <xdr:col>7</xdr:col>
      <xdr:colOff>232586</xdr:colOff>
      <xdr:row>37</xdr:row>
      <xdr:rowOff>118054</xdr:rowOff>
    </xdr:from>
    <xdr:to>
      <xdr:col>15</xdr:col>
      <xdr:colOff>399330</xdr:colOff>
      <xdr:row>54</xdr:row>
      <xdr:rowOff>157211</xdr:rowOff>
    </xdr:to>
    <xdr:graphicFrame macro="">
      <xdr:nvGraphicFramePr>
        <xdr:cNvPr id="27" name="Chart 34">
          <a:extLst>
            <a:ext uri="{FF2B5EF4-FFF2-40B4-BE49-F238E27FC236}">
              <a16:creationId xmlns:a16="http://schemas.microsoft.com/office/drawing/2014/main" id="{96AAAEF1-92D9-691F-402C-1A997BD70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266700</xdr:colOff>
      <xdr:row>47</xdr:row>
      <xdr:rowOff>114300</xdr:rowOff>
    </xdr:from>
    <xdr:to>
      <xdr:col>21</xdr:col>
      <xdr:colOff>266700</xdr:colOff>
      <xdr:row>48</xdr:row>
      <xdr:rowOff>76200</xdr:rowOff>
    </xdr:to>
    <xdr:sp macro="" textlink="">
      <xdr:nvSpPr>
        <xdr:cNvPr id="21" name="TextBox 20">
          <a:extLst>
            <a:ext uri="{FF2B5EF4-FFF2-40B4-BE49-F238E27FC236}">
              <a16:creationId xmlns:a16="http://schemas.microsoft.com/office/drawing/2014/main" id="{C87DD2D0-F292-EAA8-6AD9-CD9D5DCFF8EF}"/>
            </a:ext>
          </a:extLst>
        </xdr:cNvPr>
        <xdr:cNvSpPr txBox="1"/>
      </xdr:nvSpPr>
      <xdr:spPr>
        <a:xfrm>
          <a:off x="16573500" y="9067800"/>
          <a:ext cx="609600"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1440923</xdr:colOff>
      <xdr:row>4</xdr:row>
      <xdr:rowOff>59552</xdr:rowOff>
    </xdr:from>
    <xdr:to>
      <xdr:col>15</xdr:col>
      <xdr:colOff>242369</xdr:colOff>
      <xdr:row>22</xdr:row>
      <xdr:rowOff>188043</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104969</xdr:colOff>
      <xdr:row>104</xdr:row>
      <xdr:rowOff>52289</xdr:rowOff>
    </xdr:from>
    <xdr:to>
      <xdr:col>9</xdr:col>
      <xdr:colOff>381000</xdr:colOff>
      <xdr:row>118</xdr:row>
      <xdr:rowOff>74061</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184669</xdr:colOff>
      <xdr:row>118</xdr:row>
      <xdr:rowOff>159202</xdr:rowOff>
    </xdr:from>
    <xdr:to>
      <xdr:col>10</xdr:col>
      <xdr:colOff>155509</xdr:colOff>
      <xdr:row>134</xdr:row>
      <xdr:rowOff>48597</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260479</xdr:colOff>
      <xdr:row>144</xdr:row>
      <xdr:rowOff>42571</xdr:rowOff>
    </xdr:from>
    <xdr:to>
      <xdr:col>8</xdr:col>
      <xdr:colOff>417933</xdr:colOff>
      <xdr:row>160</xdr:row>
      <xdr:rowOff>184669</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221603</xdr:colOff>
      <xdr:row>249</xdr:row>
      <xdr:rowOff>168923</xdr:rowOff>
    </xdr:from>
    <xdr:to>
      <xdr:col>7</xdr:col>
      <xdr:colOff>303245</xdr:colOff>
      <xdr:row>263</xdr:row>
      <xdr:rowOff>190694</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767832</xdr:colOff>
      <xdr:row>356</xdr:row>
      <xdr:rowOff>100887</xdr:rowOff>
    </xdr:from>
    <xdr:to>
      <xdr:col>8</xdr:col>
      <xdr:colOff>604546</xdr:colOff>
      <xdr:row>372</xdr:row>
      <xdr:rowOff>145791</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1106067</xdr:colOff>
      <xdr:row>459</xdr:row>
      <xdr:rowOff>13412</xdr:rowOff>
    </xdr:from>
    <xdr:to>
      <xdr:col>8</xdr:col>
      <xdr:colOff>575388</xdr:colOff>
      <xdr:row>473</xdr:row>
      <xdr:rowOff>35184</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1329612</xdr:colOff>
      <xdr:row>474</xdr:row>
      <xdr:rowOff>159203</xdr:rowOff>
    </xdr:from>
    <xdr:to>
      <xdr:col>9</xdr:col>
      <xdr:colOff>186612</xdr:colOff>
      <xdr:row>488</xdr:row>
      <xdr:rowOff>180975</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1076909</xdr:colOff>
      <xdr:row>491</xdr:row>
      <xdr:rowOff>188361</xdr:rowOff>
    </xdr:from>
    <xdr:to>
      <xdr:col>9</xdr:col>
      <xdr:colOff>19438</xdr:colOff>
      <xdr:row>506</xdr:row>
      <xdr:rowOff>15745</xdr:rowOff>
    </xdr:to>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697851</xdr:colOff>
      <xdr:row>507</xdr:row>
      <xdr:rowOff>3693</xdr:rowOff>
    </xdr:from>
    <xdr:to>
      <xdr:col>8</xdr:col>
      <xdr:colOff>167172</xdr:colOff>
      <xdr:row>521</xdr:row>
      <xdr:rowOff>25465</xdr:rowOff>
    </xdr:to>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345907</xdr:colOff>
      <xdr:row>135</xdr:row>
      <xdr:rowOff>37097</xdr:rowOff>
    </xdr:from>
    <xdr:to>
      <xdr:col>10</xdr:col>
      <xdr:colOff>526381</xdr:colOff>
      <xdr:row>149</xdr:row>
      <xdr:rowOff>113297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498307</xdr:colOff>
      <xdr:row>135</xdr:row>
      <xdr:rowOff>189497</xdr:rowOff>
    </xdr:from>
    <xdr:to>
      <xdr:col>11</xdr:col>
      <xdr:colOff>67176</xdr:colOff>
      <xdr:row>150</xdr:row>
      <xdr:rowOff>75197</xdr:rowOff>
    </xdr:to>
    <xdr:graphicFrame macro="">
      <xdr:nvGraphicFramePr>
        <xdr:cNvPr id="16" name="Chart 15">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xdr:colOff>
      <xdr:row>54</xdr:row>
      <xdr:rowOff>4762</xdr:rowOff>
    </xdr:from>
    <xdr:to>
      <xdr:col>12</xdr:col>
      <xdr:colOff>295275</xdr:colOff>
      <xdr:row>68</xdr:row>
      <xdr:rowOff>80962</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70</xdr:row>
      <xdr:rowOff>185737</xdr:rowOff>
    </xdr:from>
    <xdr:to>
      <xdr:col>12</xdr:col>
      <xdr:colOff>276225</xdr:colOff>
      <xdr:row>85</xdr:row>
      <xdr:rowOff>71437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88</xdr:row>
      <xdr:rowOff>14287</xdr:rowOff>
    </xdr:from>
    <xdr:to>
      <xdr:col>12</xdr:col>
      <xdr:colOff>295275</xdr:colOff>
      <xdr:row>102</xdr:row>
      <xdr:rowOff>90487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xdr:colOff>
      <xdr:row>105</xdr:row>
      <xdr:rowOff>14287</xdr:rowOff>
    </xdr:from>
    <xdr:to>
      <xdr:col>12</xdr:col>
      <xdr:colOff>285750</xdr:colOff>
      <xdr:row>119</xdr:row>
      <xdr:rowOff>90487</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123825</xdr:colOff>
      <xdr:row>122</xdr:row>
      <xdr:rowOff>157162</xdr:rowOff>
    </xdr:from>
    <xdr:to>
      <xdr:col>12</xdr:col>
      <xdr:colOff>381000</xdr:colOff>
      <xdr:row>137</xdr:row>
      <xdr:rowOff>42862</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238125</xdr:colOff>
      <xdr:row>5</xdr:row>
      <xdr:rowOff>19050</xdr:rowOff>
    </xdr:from>
    <xdr:to>
      <xdr:col>10</xdr:col>
      <xdr:colOff>314325</xdr:colOff>
      <xdr:row>18</xdr:row>
      <xdr:rowOff>66675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505325" y="971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gboyega Aare" refreshedDate="45079.835300578707" createdVersion="5" refreshedVersion="5" minRefreshableVersion="3" recordCount="100" xr:uid="{00000000-000A-0000-FFFF-FFFF00000000}">
  <cacheSource type="worksheet">
    <worksheetSource name="Table1"/>
  </cacheSource>
  <cacheFields count="24">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1">
      <sharedItems containsSemiMixedTypes="0" containsString="0" containsNumber="1" minValue="1.6999760138659299" maxValue="99.171328638624104" count="100">
        <n v="69.808005542115694"/>
        <n v="14.8435232750843"/>
        <n v="11.319683293090501"/>
        <n v="61.1633430164377"/>
        <n v="4.8054960363458896"/>
        <n v="1.6999760138659299"/>
        <n v="4.0783328631079403"/>
        <n v="42.958384382459997"/>
        <n v="68.717596748527299"/>
        <n v="64.0157329412785"/>
        <n v="15.707795681912099"/>
        <n v="90.635459982288594"/>
        <n v="71.213389075359999"/>
        <n v="16.160393317379899"/>
        <n v="99.171328638624104"/>
        <n v="36.989244928626903"/>
        <n v="7.5471721097912701"/>
        <n v="81.462534369237005"/>
        <n v="36.4436277704609"/>
        <n v="51.123870087964697"/>
        <n v="96.341072439963298"/>
        <n v="84.893868984950799"/>
        <n v="27.679780886501899"/>
        <n v="4.3243411858641601"/>
        <n v="4.1563083593111001"/>
        <n v="39.629343985092603"/>
        <n v="97.446946617892806"/>
        <n v="92.557360812401996"/>
        <n v="2.3972747055971402"/>
        <n v="63.447559185207297"/>
        <n v="8.0228592105263896"/>
        <n v="50.847393051718697"/>
        <n v="79.209936015656695"/>
        <n v="64.795435000155607"/>
        <n v="37.467592329842397"/>
        <n v="84.957786816350406"/>
        <n v="9.81300257875405"/>
        <n v="23.3998447526143"/>
        <n v="52.075930682707799"/>
        <n v="19.127477265823199"/>
        <n v="80.541424170940303"/>
        <n v="99.113291615317095"/>
        <n v="46.529167614516702"/>
        <n v="11.7432717763092"/>
        <n v="51.355790913110297"/>
        <n v="33.784138033065503"/>
        <n v="27.082207199888899"/>
        <n v="95.712135880936003"/>
        <n v="76.035544426891704"/>
        <n v="78.897913205639995"/>
        <n v="14.203484264803"/>
        <n v="26.700760972461701"/>
        <n v="98.031829656465007"/>
        <n v="30.3414707112142"/>
        <n v="31.1462431602408"/>
        <n v="79.855058340789398"/>
        <n v="20.9863860370433"/>
        <n v="49.263205350734097"/>
        <n v="59.841561377289302"/>
        <n v="63.828398347710902"/>
        <n v="17.028027920188698"/>
        <n v="52.028749903294901"/>
        <n v="72.796353955587307"/>
        <n v="13.0173767852878"/>
        <n v="89.634095608135297"/>
        <n v="33.697717206643098"/>
        <n v="26.034869773962001"/>
        <n v="87.755432354001002"/>
        <n v="37.931812382790298"/>
        <n v="54.865528517069698"/>
        <n v="47.914541824058702"/>
        <n v="6.3815331627479601"/>
        <n v="90.204427520528"/>
        <n v="83.851017681304597"/>
        <n v="3.1700114135661499"/>
        <n v="92.996884233970604"/>
        <n v="69.108799547430294"/>
        <n v="57.449742958971399"/>
        <n v="6.30688317611191"/>
        <n v="57.057031221103202"/>
        <n v="91.128318350444303"/>
        <n v="72.819206930318202"/>
        <n v="17.034930739467899"/>
        <n v="68.911246211606297"/>
        <n v="89.104367292102197"/>
        <n v="76.962994415193805"/>
        <n v="19.9981769404042"/>
        <n v="80.414036650355698"/>
        <n v="75.270406975724995"/>
        <n v="97.760085581938597"/>
        <n v="13.881913501359101"/>
        <n v="62.111965463961702"/>
        <n v="47.714233075820196"/>
        <n v="69.290831002905406"/>
        <n v="3.0376887246314102"/>
        <n v="77.903927219447695"/>
        <n v="24.423131420373299"/>
        <n v="3.5261112591434101"/>
        <n v="19.754604866878601"/>
        <n v="68.517832699276596"/>
      </sharedItems>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1">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1">
      <sharedItems containsSemiMixedTypes="0" containsString="0" containsNumber="1" minValue="1.0850685695870601" maxValue="99.466108603599096"/>
    </cacheField>
    <cacheField name="Inspection results" numFmtId="0">
      <sharedItems/>
    </cacheField>
    <cacheField name="Defect rates" numFmtId="166">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acheField>
    <cacheField name="Costs" numFmtId="1">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2.959613078703" createdVersion="8" refreshedVersion="8" minRefreshableVersion="3" recordCount="100" xr:uid="{A1C4EF29-E655-4346-B36F-336F80B0BA97}">
  <cacheSource type="worksheet">
    <worksheetSource name="Table13"/>
  </cacheSource>
  <cacheFields count="24">
    <cacheField name="Product type" numFmtId="0">
      <sharedItems count="3">
        <s v="Haircare"/>
        <s v="Skincare"/>
        <s v="Cosmetics"/>
      </sharedItems>
    </cacheField>
    <cacheField name="SKU" numFmtId="0">
      <sharedItems/>
    </cacheField>
    <cacheField name="Price" numFmtId="1">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Shipping_LT"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1">
      <sharedItems containsSemiMixedTypes="0" containsString="0" containsNumber="1" minValue="1.0134865660958901" maxValue="9.9298162452772498"/>
    </cacheField>
    <cacheField name="Supplier name" numFmtId="0">
      <sharedItems/>
    </cacheField>
    <cacheField name="Location" numFmtId="0">
      <sharedItems/>
    </cacheField>
    <cacheField name="Supplier_LT"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fg_LT" numFmtId="0">
      <sharedItems containsSemiMixedTypes="0" containsString="0" containsNumber="1" containsInteger="1" minValue="1" maxValue="30" count="30">
        <n v="29"/>
        <n v="30"/>
        <n v="27"/>
        <n v="18"/>
        <n v="3"/>
        <n v="17"/>
        <n v="24"/>
        <n v="1"/>
        <n v="8"/>
        <n v="23"/>
        <n v="5"/>
        <n v="11"/>
        <n v="10"/>
        <n v="14"/>
        <n v="7"/>
        <n v="21"/>
        <n v="16"/>
        <n v="6"/>
        <n v="4"/>
        <n v="28"/>
        <n v="2"/>
        <n v="19"/>
        <n v="15"/>
        <n v="12"/>
        <n v="25"/>
        <n v="20"/>
        <n v="9"/>
        <n v="26"/>
        <n v="22"/>
        <n v="13"/>
      </sharedItems>
      <fieldGroup base="17">
        <rangePr startNum="1" endNum="30" groupInterval="5"/>
        <groupItems count="8">
          <s v="&lt;1"/>
          <s v="1-5"/>
          <s v="6-10"/>
          <s v="11-15"/>
          <s v="16-20"/>
          <s v="21-25"/>
          <s v="26-30"/>
          <s v="&gt;31"/>
        </groupItems>
      </fieldGroup>
    </cacheField>
    <cacheField name="Manufacturing costs" numFmtId="1">
      <sharedItems containsSemiMixedTypes="0" containsString="0" containsNumber="1" minValue="1.0850685695870601" maxValue="99.466108603599096"/>
    </cacheField>
    <cacheField name="Inspection results" numFmtId="0">
      <sharedItems count="3">
        <s v="Pending"/>
        <s v="Fail"/>
        <s v="Pass"/>
      </sharedItems>
    </cacheField>
    <cacheField name="Defect rates" numFmtId="166">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ount="3">
        <s v="Route B"/>
        <s v="Route C"/>
        <s v="Route A"/>
      </sharedItems>
    </cacheField>
    <cacheField name="Costs" numFmtId="1">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8058863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2.959810185188" backgroundQuery="1" createdVersion="8" refreshedVersion="8" minRefreshableVersion="3" recordCount="0" supportSubquery="1" supportAdvancedDrill="1" xr:uid="{F22E3686-D86B-45D6-9846-CE7A61CFF096}">
  <cacheSource type="external" connectionId="1"/>
  <cacheFields count="4">
    <cacheField name="[Table13].[Product type].[Product type]" caption="Product type" numFmtId="0" level="1">
      <sharedItems count="3">
        <s v="Cosmetics"/>
        <s v="Haircare"/>
        <s v="Skincare"/>
      </sharedItems>
    </cacheField>
    <cacheField name="[Measures].[Average of Shipping_LT]" caption="Average of Shipping_LT" numFmtId="0" hierarchy="32" level="32767"/>
    <cacheField name="[Measures].[Average of Supplier_LT]" caption="Average of Supplier_LT" numFmtId="0" hierarchy="34" level="32767"/>
    <cacheField name="[Measures].[Average of Mfg_LT]" caption="Average of Mfg_LT" numFmtId="0" hierarchy="36" level="32767"/>
  </cacheFields>
  <cacheHierarchies count="37">
    <cacheHierarchy uniqueName="[Table13].[Product type]" caption="Product type" attribute="1" defaultMemberUniqueName="[Table13].[Product type].[All]" allUniqueName="[Table13].[Product type].[All]" dimensionUniqueName="[Table13]" displayFolder="" count="2" memberValueDatatype="130" unbalanced="0">
      <fieldsUsage count="2">
        <fieldUsage x="-1"/>
        <fieldUsage x="0"/>
      </fieldsUsage>
    </cacheHierarchy>
    <cacheHierarchy uniqueName="[Table13].[SKU]" caption="SKU" attribute="1" defaultMemberUniqueName="[Table13].[SKU].[All]" allUniqueName="[Table13].[SKU].[All]" dimensionUniqueName="[Table13]" displayFolder="" count="0" memberValueDatatype="130" unbalanced="0"/>
    <cacheHierarchy uniqueName="[Table13].[Price]" caption="Price" attribute="1" defaultMemberUniqueName="[Table13].[Price].[All]" allUniqueName="[Table13].[Price].[All]" dimensionUniqueName="[Table13]" displayFolder="" count="0" memberValueDatatype="5" unbalanced="0"/>
    <cacheHierarchy uniqueName="[Table13].[Availability]" caption="Availability" attribute="1" defaultMemberUniqueName="[Table13].[Availability].[All]" allUniqueName="[Table13].[Availability].[All]" dimensionUniqueName="[Table13]" displayFolder="" count="0" memberValueDatatype="20" unbalanced="0"/>
    <cacheHierarchy uniqueName="[Table13].[Number of products sold]" caption="Number of products sold" attribute="1" defaultMemberUniqueName="[Table13].[Number of products sold].[All]" allUniqueName="[Table13].[Number of products sold].[All]" dimensionUniqueName="[Table13]" displayFolder="" count="0" memberValueDatatype="20" unbalanced="0"/>
    <cacheHierarchy uniqueName="[Table13].[Revenue generated]" caption="Revenue generated" attribute="1" defaultMemberUniqueName="[Table13].[Revenue generated].[All]" allUniqueName="[Table13].[Revenue generated].[All]" dimensionUniqueName="[Table13]" displayFolder="" count="0" memberValueDatatype="5" unbalanced="0"/>
    <cacheHierarchy uniqueName="[Table13].[Customer demographics]" caption="Customer demographics" attribute="1" defaultMemberUniqueName="[Table13].[Customer demographics].[All]" allUniqueName="[Table13].[Customer demographics].[All]" dimensionUniqueName="[Table13]" displayFolder="" count="0" memberValueDatatype="130" unbalanced="0"/>
    <cacheHierarchy uniqueName="[Table13].[Stock levels]" caption="Stock levels" attribute="1" defaultMemberUniqueName="[Table13].[Stock levels].[All]" allUniqueName="[Table13].[Stock levels].[All]" dimensionUniqueName="[Table13]" displayFolder="" count="0" memberValueDatatype="20" unbalanced="0"/>
    <cacheHierarchy uniqueName="[Table13].[Shipping_LT]" caption="Shipping_LT" attribute="1" defaultMemberUniqueName="[Table13].[Shipping_LT].[All]" allUniqueName="[Table13].[Shipping_LT].[All]" dimensionUniqueName="[Table13]" displayFolder="" count="0" memberValueDatatype="20" unbalanced="0"/>
    <cacheHierarchy uniqueName="[Table13].[Order quantities]" caption="Order quantities" attribute="1" defaultMemberUniqueName="[Table13].[Order quantities].[All]" allUniqueName="[Table13].[Order quantities].[All]" dimensionUniqueName="[Table13]" displayFolder="" count="0" memberValueDatatype="20" unbalanced="0"/>
    <cacheHierarchy uniqueName="[Table13].[Shipping times]" caption="Shipping times" attribute="1" defaultMemberUniqueName="[Table13].[Shipping times].[All]" allUniqueName="[Table13].[Shipping times].[All]" dimensionUniqueName="[Table13]" displayFolder="" count="0" memberValueDatatype="20" unbalanced="0"/>
    <cacheHierarchy uniqueName="[Table13].[Shipping carriers]" caption="Shipping carriers" attribute="1" defaultMemberUniqueName="[Table13].[Shipping carriers].[All]" allUniqueName="[Table13].[Shipping carriers].[All]" dimensionUniqueName="[Table13]" displayFolder="" count="0" memberValueDatatype="130" unbalanced="0"/>
    <cacheHierarchy uniqueName="[Table13].[Shipping costs]" caption="Shipping costs" attribute="1" defaultMemberUniqueName="[Table13].[Shipping costs].[All]" allUniqueName="[Table13].[Shipping costs].[All]" dimensionUniqueName="[Table13]" displayFolder="" count="0" memberValueDatatype="5" unbalanced="0"/>
    <cacheHierarchy uniqueName="[Table13].[Supplier name]" caption="Supplier name" attribute="1" defaultMemberUniqueName="[Table13].[Supplier name].[All]" allUniqueName="[Table13].[Supplier name].[All]" dimensionUniqueName="[Table13]" displayFolder="" count="0" memberValueDatatype="130" unbalanced="0"/>
    <cacheHierarchy uniqueName="[Table13].[Location]" caption="Location" attribute="1" defaultMemberUniqueName="[Table13].[Location].[All]" allUniqueName="[Table13].[Location].[All]" dimensionUniqueName="[Table13]" displayFolder="" count="0" memberValueDatatype="130" unbalanced="0"/>
    <cacheHierarchy uniqueName="[Table13].[Supplier_LT]" caption="Supplier_LT" attribute="1" defaultMemberUniqueName="[Table13].[Supplier_LT].[All]" allUniqueName="[Table13].[Supplier_LT].[All]" dimensionUniqueName="[Table13]" displayFolder="" count="0" memberValueDatatype="20" unbalanced="0"/>
    <cacheHierarchy uniqueName="[Table13].[Production volumes]" caption="Production volumes" attribute="1" defaultMemberUniqueName="[Table13].[Production volumes].[All]" allUniqueName="[Table13].[Production volumes].[All]" dimensionUniqueName="[Table13]" displayFolder="" count="0" memberValueDatatype="20" unbalanced="0"/>
    <cacheHierarchy uniqueName="[Table13].[Mfg_LT]" caption="Mfg_LT" attribute="1" defaultMemberUniqueName="[Table13].[Mfg_LT].[All]" allUniqueName="[Table13].[Mfg_LT].[All]" dimensionUniqueName="[Table13]" displayFolder="" count="0" memberValueDatatype="20" unbalanced="0"/>
    <cacheHierarchy uniqueName="[Table13].[Manufacturing costs]" caption="Manufacturing costs" attribute="1" defaultMemberUniqueName="[Table13].[Manufacturing costs].[All]" allUniqueName="[Table13].[Manufacturing costs].[All]" dimensionUniqueName="[Table13]" displayFolder="" count="0" memberValueDatatype="5" unbalanced="0"/>
    <cacheHierarchy uniqueName="[Table13].[Inspection results]" caption="Inspection results" attribute="1" defaultMemberUniqueName="[Table13].[Inspection results].[All]" allUniqueName="[Table13].[Inspection results].[All]" dimensionUniqueName="[Table13]" displayFolder="" count="0" memberValueDatatype="130" unbalanced="0"/>
    <cacheHierarchy uniqueName="[Table13].[Defect rates]" caption="Defect rates" attribute="1" defaultMemberUniqueName="[Table13].[Defect rates].[All]" allUniqueName="[Table13].[Defect rates].[All]" dimensionUniqueName="[Table13]" displayFolder="" count="0" memberValueDatatype="5" unbalanced="0"/>
    <cacheHierarchy uniqueName="[Table13].[Transportation modes]" caption="Transportation modes" attribute="1" defaultMemberUniqueName="[Table13].[Transportation modes].[All]" allUniqueName="[Table13].[Transportation modes].[All]" dimensionUniqueName="[Table13]" displayFolder="" count="0" memberValueDatatype="130" unbalanced="0"/>
    <cacheHierarchy uniqueName="[Table13].[Routes]" caption="Routes" attribute="1" defaultMemberUniqueName="[Table13].[Routes].[All]" allUniqueName="[Table13].[Routes].[All]" dimensionUniqueName="[Table13]" displayFolder="" count="0" memberValueDatatype="130" unbalanced="0"/>
    <cacheHierarchy uniqueName="[Table13].[Costs]" caption="Costs" attribute="1" defaultMemberUniqueName="[Table13].[Costs].[All]" allUniqueName="[Table13].[Costs].[All]" dimensionUniqueName="[Table13]" displayFolder="" count="0" memberValueDatatype="5" unbalanced="0"/>
    <cacheHierarchy uniqueName="[Table3].[Average time]" caption="Average time" attribute="1" defaultMemberUniqueName="[Table3].[Average time].[All]" allUniqueName="[Table3].[Average time].[All]" dimensionUniqueName="[Table3]" displayFolder="" count="0" memberValueDatatype="130" unbalanced="0"/>
    <cacheHierarchy uniqueName="[Table3].[Days]" caption="Days" attribute="1" defaultMemberUniqueName="[Table3].[Days].[All]" allUniqueName="[Table3].[Days].[All]" dimensionUniqueName="[Table3]" displayFolder="" count="0" memberValueDatatype="5" unbalanced="0"/>
    <cacheHierarchy uniqueName="[Measures].[__XL_Count Table13]" caption="__XL_Count Table13" measure="1" displayFolder="" measureGroup="Table13"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Days]" caption="Sum of Days" measure="1" displayFolder="" measureGroup="Table3" count="0" hidden="1">
      <extLst>
        <ext xmlns:x15="http://schemas.microsoft.com/office/spreadsheetml/2010/11/main" uri="{B97F6D7D-B522-45F9-BDA1-12C45D357490}">
          <x15:cacheHierarchy aggregatedColumn="25"/>
        </ext>
      </extLst>
    </cacheHierarchy>
    <cacheHierarchy uniqueName="[Measures].[Count of Average time]" caption="Count of Average time" measure="1" displayFolder="" measureGroup="Table3" count="0" hidden="1">
      <extLst>
        <ext xmlns:x15="http://schemas.microsoft.com/office/spreadsheetml/2010/11/main" uri="{B97F6D7D-B522-45F9-BDA1-12C45D357490}">
          <x15:cacheHierarchy aggregatedColumn="24"/>
        </ext>
      </extLst>
    </cacheHierarchy>
    <cacheHierarchy uniqueName="[Measures].[Sum of Shipping_LT]" caption="Sum of Shipping_LT" measure="1" displayFolder="" measureGroup="Table13" count="0" hidden="1">
      <extLst>
        <ext xmlns:x15="http://schemas.microsoft.com/office/spreadsheetml/2010/11/main" uri="{B97F6D7D-B522-45F9-BDA1-12C45D357490}">
          <x15:cacheHierarchy aggregatedColumn="8"/>
        </ext>
      </extLst>
    </cacheHierarchy>
    <cacheHierarchy uniqueName="[Measures].[Average of Shipping_LT]" caption="Average of Shipping_LT" measure="1" displayFolder="" measureGroup="Table13"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upplier_LT]" caption="Sum of Supplier_LT" measure="1" displayFolder="" measureGroup="Table13" count="0" hidden="1">
      <extLst>
        <ext xmlns:x15="http://schemas.microsoft.com/office/spreadsheetml/2010/11/main" uri="{B97F6D7D-B522-45F9-BDA1-12C45D357490}">
          <x15:cacheHierarchy aggregatedColumn="15"/>
        </ext>
      </extLst>
    </cacheHierarchy>
    <cacheHierarchy uniqueName="[Measures].[Average of Supplier_LT]" caption="Average of Supplier_LT" measure="1" displayFolder="" measureGroup="Table13"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Mfg_LT]" caption="Sum of Mfg_LT" measure="1" displayFolder="" measureGroup="Table13" count="0" hidden="1">
      <extLst>
        <ext xmlns:x15="http://schemas.microsoft.com/office/spreadsheetml/2010/11/main" uri="{B97F6D7D-B522-45F9-BDA1-12C45D357490}">
          <x15:cacheHierarchy aggregatedColumn="17"/>
        </ext>
      </extLst>
    </cacheHierarchy>
    <cacheHierarchy uniqueName="[Measures].[Average of Mfg_LT]" caption="Average of Mfg_LT" measure="1" displayFolder="" measureGroup="Table13" count="0" oneField="1" hidden="1">
      <fieldsUsage count="1">
        <fieldUsage x="3"/>
      </fieldsUsage>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Table13" uniqueName="[Table13]" caption="Table13"/>
    <dimension name="Table3" uniqueName="[Table3]" caption="Table3"/>
  </dimensions>
  <measureGroups count="2">
    <measureGroup name="Table13" caption="Table13"/>
    <measureGroup name="Table3" caption="Table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3.584984606481" createdVersion="8" refreshedVersion="8" minRefreshableVersion="3" recordCount="100" xr:uid="{51222BD7-2557-4578-A890-ED978635B86C}">
  <cacheSource type="worksheet">
    <worksheetSource ref="A1:Y101" sheet="Analysis"/>
  </cacheSource>
  <cacheFields count="25">
    <cacheField name="Product type" numFmtId="0">
      <sharedItems count="3">
        <s v="Haircare"/>
        <s v="Skincare"/>
        <s v="Cosmetics"/>
      </sharedItems>
    </cacheField>
    <cacheField name="SKU" numFmtId="0">
      <sharedItems/>
    </cacheField>
    <cacheField name="Price" numFmtId="1">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Shipping_LT"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1">
      <sharedItems containsSemiMixedTypes="0" containsString="0" containsNumber="1" minValue="1.0134865660958901" maxValue="9.9298162452772498"/>
    </cacheField>
    <cacheField name="Supplier name" numFmtId="0">
      <sharedItems/>
    </cacheField>
    <cacheField name="Location" numFmtId="0">
      <sharedItems/>
    </cacheField>
    <cacheField name="Supplier_LT"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fg_LT" numFmtId="0">
      <sharedItems containsSemiMixedTypes="0" containsString="0" containsNumber="1" containsInteger="1" minValue="1" maxValue="30"/>
    </cacheField>
    <cacheField name="Manufacturing costs" numFmtId="1">
      <sharedItems containsSemiMixedTypes="0" containsString="0" containsNumber="1" minValue="1.0850685695870601" maxValue="99.466108603599096"/>
    </cacheField>
    <cacheField name="Inspection results" numFmtId="0">
      <sharedItems/>
    </cacheField>
    <cacheField name="Defect rates" numFmtId="166">
      <sharedItems containsSemiMixedTypes="0" containsString="0" containsNumber="1" minValue="1.8607567631014899E-2" maxValue="4.9392552886209398"/>
    </cacheField>
    <cacheField name="Transportation modes" numFmtId="0">
      <sharedItems/>
    </cacheField>
    <cacheField name="Routes" numFmtId="0">
      <sharedItems/>
    </cacheField>
    <cacheField name="Costs" numFmtId="1">
      <sharedItems containsSemiMixedTypes="0" containsString="0" containsNumber="1" minValue="103.916247960704" maxValue="997.41345013319403"/>
    </cacheField>
    <cacheField name="Total Lead Time" numFmtId="0">
      <sharedItems containsSemiMixedTypes="0" containsString="0" containsNumber="1" containsInteger="1" minValue="11" maxValue="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55"/>
    <n v="802"/>
    <n v="8661.9967923923796"/>
    <x v="0"/>
    <n v="58"/>
    <n v="7"/>
    <n v="96"/>
    <n v="4"/>
    <x v="0"/>
    <n v="2.9565721394308002"/>
    <x v="0"/>
    <x v="0"/>
    <n v="29"/>
    <n v="215"/>
    <n v="29"/>
    <n v="46.279879240508301"/>
    <s v="Pending"/>
    <n v="0.226410360849925"/>
    <x v="0"/>
    <s v="Route B"/>
    <n v="187.75207545920301"/>
  </r>
  <r>
    <x v="1"/>
    <x v="1"/>
    <x v="1"/>
    <n v="95"/>
    <n v="736"/>
    <n v="7460.9000654458396"/>
    <x v="1"/>
    <n v="53"/>
    <n v="30"/>
    <n v="37"/>
    <n v="2"/>
    <x v="1"/>
    <n v="9.7165747714313095"/>
    <x v="0"/>
    <x v="0"/>
    <n v="23"/>
    <n v="517"/>
    <n v="30"/>
    <n v="33.616768953730002"/>
    <s v="Pending"/>
    <n v="4.8540680263886999"/>
    <x v="0"/>
    <s v="Route B"/>
    <n v="503.06557914966902"/>
  </r>
  <r>
    <x v="0"/>
    <x v="2"/>
    <x v="2"/>
    <n v="34"/>
    <n v="8"/>
    <n v="9577.7496258687297"/>
    <x v="2"/>
    <n v="1"/>
    <n v="10"/>
    <n v="88"/>
    <n v="2"/>
    <x v="0"/>
    <n v="8.0544792617321495"/>
    <x v="1"/>
    <x v="0"/>
    <n v="12"/>
    <n v="971"/>
    <n v="27"/>
    <n v="30.6880193482842"/>
    <s v="Pending"/>
    <n v="4.5805926191992201"/>
    <x v="1"/>
    <s v="Route C"/>
    <n v="141.920281771519"/>
  </r>
  <r>
    <x v="1"/>
    <x v="3"/>
    <x v="3"/>
    <n v="68"/>
    <n v="83"/>
    <n v="7766.8364256852301"/>
    <x v="0"/>
    <n v="23"/>
    <n v="13"/>
    <n v="59"/>
    <n v="6"/>
    <x v="2"/>
    <n v="1.7295685635434199"/>
    <x v="2"/>
    <x v="1"/>
    <n v="24"/>
    <n v="937"/>
    <n v="18"/>
    <n v="35.624741397125"/>
    <s v="Fail"/>
    <n v="4.7466486206477496"/>
    <x v="2"/>
    <s v="Route A"/>
    <n v="254.776159219286"/>
  </r>
  <r>
    <x v="1"/>
    <x v="4"/>
    <x v="4"/>
    <n v="26"/>
    <n v="871"/>
    <n v="2686.50515156744"/>
    <x v="0"/>
    <n v="5"/>
    <n v="3"/>
    <n v="56"/>
    <n v="8"/>
    <x v="1"/>
    <n v="3.8905479158706702"/>
    <x v="1"/>
    <x v="2"/>
    <n v="5"/>
    <n v="414"/>
    <n v="3"/>
    <n v="92.065160598712794"/>
    <s v="Fail"/>
    <n v="3.1455795228330001"/>
    <x v="1"/>
    <s v="Route A"/>
    <n v="923.44063171192204"/>
  </r>
  <r>
    <x v="0"/>
    <x v="5"/>
    <x v="5"/>
    <n v="87"/>
    <n v="147"/>
    <n v="2828.3487459757498"/>
    <x v="0"/>
    <n v="90"/>
    <n v="27"/>
    <n v="66"/>
    <n v="3"/>
    <x v="0"/>
    <n v="4.4440988643822896"/>
    <x v="3"/>
    <x v="3"/>
    <n v="10"/>
    <n v="104"/>
    <n v="17"/>
    <n v="56.766475557431797"/>
    <s v="Fail"/>
    <n v="2.7791935115711599"/>
    <x v="0"/>
    <s v="Route A"/>
    <n v="235.461236735537"/>
  </r>
  <r>
    <x v="1"/>
    <x v="6"/>
    <x v="6"/>
    <n v="48"/>
    <n v="65"/>
    <n v="7823.4765595317303"/>
    <x v="3"/>
    <n v="11"/>
    <n v="15"/>
    <n v="58"/>
    <n v="8"/>
    <x v="2"/>
    <n v="3.8807633029519999"/>
    <x v="0"/>
    <x v="1"/>
    <n v="14"/>
    <n v="314"/>
    <n v="24"/>
    <n v="1.0850685695870601"/>
    <s v="Pending"/>
    <n v="1.0009106193041299"/>
    <x v="3"/>
    <s v="Route A"/>
    <n v="134.36909686103101"/>
  </r>
  <r>
    <x v="2"/>
    <x v="7"/>
    <x v="7"/>
    <n v="59"/>
    <n v="426"/>
    <n v="8496.1038130898305"/>
    <x v="1"/>
    <n v="93"/>
    <n v="17"/>
    <n v="11"/>
    <n v="1"/>
    <x v="0"/>
    <n v="2.3483387844177801"/>
    <x v="3"/>
    <x v="3"/>
    <n v="22"/>
    <n v="564"/>
    <n v="1"/>
    <n v="99.466108603599096"/>
    <s v="Fail"/>
    <n v="0.39817718685065001"/>
    <x v="0"/>
    <s v="Route C"/>
    <n v="802.05631181755803"/>
  </r>
  <r>
    <x v="2"/>
    <x v="8"/>
    <x v="8"/>
    <n v="78"/>
    <n v="150"/>
    <n v="7517.3632106311197"/>
    <x v="1"/>
    <n v="5"/>
    <n v="10"/>
    <n v="15"/>
    <n v="7"/>
    <x v="2"/>
    <n v="3.4047338570830199"/>
    <x v="3"/>
    <x v="0"/>
    <n v="13"/>
    <n v="769"/>
    <n v="8"/>
    <n v="11.423027139565599"/>
    <s v="Pending"/>
    <n v="2.7098626911099601"/>
    <x v="3"/>
    <s v="Route B"/>
    <n v="505.55713422546398"/>
  </r>
  <r>
    <x v="1"/>
    <x v="9"/>
    <x v="9"/>
    <n v="35"/>
    <n v="980"/>
    <n v="4971.1459875855498"/>
    <x v="2"/>
    <n v="14"/>
    <n v="27"/>
    <n v="83"/>
    <n v="1"/>
    <x v="1"/>
    <n v="7.1666452910482104"/>
    <x v="4"/>
    <x v="4"/>
    <n v="29"/>
    <n v="963"/>
    <n v="23"/>
    <n v="47.957601634951502"/>
    <s v="Pending"/>
    <n v="3.8446144787675798"/>
    <x v="2"/>
    <s v="Route B"/>
    <n v="995.92946149864099"/>
  </r>
  <r>
    <x v="1"/>
    <x v="10"/>
    <x v="10"/>
    <n v="11"/>
    <n v="996"/>
    <n v="2330.9658020919401"/>
    <x v="0"/>
    <n v="51"/>
    <n v="13"/>
    <n v="80"/>
    <n v="2"/>
    <x v="2"/>
    <n v="8.6732112112786108"/>
    <x v="2"/>
    <x v="1"/>
    <n v="18"/>
    <n v="830"/>
    <n v="5"/>
    <n v="96.527352785310896"/>
    <s v="Pass"/>
    <n v="1.72731392835594"/>
    <x v="0"/>
    <s v="Route B"/>
    <n v="806.10317770292295"/>
  </r>
  <r>
    <x v="1"/>
    <x v="11"/>
    <x v="11"/>
    <n v="95"/>
    <n v="960"/>
    <n v="6099.9441155814502"/>
    <x v="1"/>
    <n v="46"/>
    <n v="23"/>
    <n v="60"/>
    <n v="1"/>
    <x v="1"/>
    <n v="4.5239431243166601"/>
    <x v="4"/>
    <x v="1"/>
    <n v="28"/>
    <n v="362"/>
    <n v="11"/>
    <n v="27.5923630866636"/>
    <s v="Pending"/>
    <n v="2.1169821372994301E-2"/>
    <x v="1"/>
    <s v="Route A"/>
    <n v="126.72303340940699"/>
  </r>
  <r>
    <x v="0"/>
    <x v="12"/>
    <x v="12"/>
    <n v="41"/>
    <n v="336"/>
    <n v="2873.74144602144"/>
    <x v="2"/>
    <n v="100"/>
    <n v="30"/>
    <n v="85"/>
    <n v="4"/>
    <x v="1"/>
    <n v="1.32527401018452"/>
    <x v="3"/>
    <x v="1"/>
    <n v="3"/>
    <n v="563"/>
    <n v="3"/>
    <n v="32.321286213424003"/>
    <s v="Fail"/>
    <n v="2.1612537475559099"/>
    <x v="0"/>
    <s v="Route B"/>
    <n v="402.96878907376998"/>
  </r>
  <r>
    <x v="1"/>
    <x v="13"/>
    <x v="13"/>
    <n v="5"/>
    <n v="249"/>
    <n v="4052.7384162378598"/>
    <x v="3"/>
    <n v="80"/>
    <n v="8"/>
    <n v="48"/>
    <n v="9"/>
    <x v="1"/>
    <n v="9.5372830611083295"/>
    <x v="2"/>
    <x v="3"/>
    <n v="23"/>
    <n v="173"/>
    <n v="10"/>
    <n v="97.829050110173199"/>
    <s v="Pending"/>
    <n v="1.63107423007153"/>
    <x v="0"/>
    <s v="Route B"/>
    <n v="547.24100516096803"/>
  </r>
  <r>
    <x v="1"/>
    <x v="14"/>
    <x v="14"/>
    <n v="26"/>
    <n v="562"/>
    <n v="8653.5709264697998"/>
    <x v="0"/>
    <n v="54"/>
    <n v="29"/>
    <n v="78"/>
    <n v="5"/>
    <x v="0"/>
    <n v="2.0397701894493299"/>
    <x v="1"/>
    <x v="1"/>
    <n v="25"/>
    <n v="558"/>
    <n v="14"/>
    <n v="5.7914366298629796"/>
    <s v="Pending"/>
    <n v="0.100682851565093"/>
    <x v="1"/>
    <s v="Route B"/>
    <n v="929.23528996088896"/>
  </r>
  <r>
    <x v="1"/>
    <x v="15"/>
    <x v="15"/>
    <n v="94"/>
    <n v="469"/>
    <n v="5442.0867853976697"/>
    <x v="0"/>
    <n v="9"/>
    <n v="8"/>
    <n v="69"/>
    <n v="7"/>
    <x v="0"/>
    <n v="2.4220397232752"/>
    <x v="1"/>
    <x v="3"/>
    <n v="14"/>
    <n v="580"/>
    <n v="7"/>
    <n v="97.121281751474299"/>
    <s v="Pass"/>
    <n v="2.2644057611985402"/>
    <x v="3"/>
    <s v="Route B"/>
    <n v="127.861800001625"/>
  </r>
  <r>
    <x v="1"/>
    <x v="16"/>
    <x v="16"/>
    <n v="74"/>
    <n v="280"/>
    <n v="6453.7979681762799"/>
    <x v="1"/>
    <n v="2"/>
    <n v="5"/>
    <n v="78"/>
    <n v="1"/>
    <x v="0"/>
    <n v="4.1913245857054999"/>
    <x v="1"/>
    <x v="3"/>
    <n v="3"/>
    <n v="399"/>
    <n v="21"/>
    <n v="77.106342497849994"/>
    <s v="Pass"/>
    <n v="1.01256308925804"/>
    <x v="1"/>
    <s v="Route A"/>
    <n v="865.52577977123997"/>
  </r>
  <r>
    <x v="2"/>
    <x v="17"/>
    <x v="17"/>
    <n v="82"/>
    <n v="126"/>
    <n v="2629.39643484526"/>
    <x v="1"/>
    <n v="45"/>
    <n v="17"/>
    <n v="85"/>
    <n v="9"/>
    <x v="2"/>
    <n v="3.5854189582323399"/>
    <x v="1"/>
    <x v="4"/>
    <n v="7"/>
    <n v="453"/>
    <n v="16"/>
    <n v="47.679680368355299"/>
    <s v="Fail"/>
    <n v="0.102020754918176"/>
    <x v="1"/>
    <s v="Route C"/>
    <n v="670.93439079241"/>
  </r>
  <r>
    <x v="0"/>
    <x v="18"/>
    <x v="18"/>
    <n v="23"/>
    <n v="620"/>
    <n v="9364.6735050761708"/>
    <x v="2"/>
    <n v="10"/>
    <n v="10"/>
    <n v="46"/>
    <n v="8"/>
    <x v="2"/>
    <n v="4.3392247141107001"/>
    <x v="4"/>
    <x v="1"/>
    <n v="18"/>
    <n v="374"/>
    <n v="17"/>
    <n v="27.107980854843898"/>
    <s v="Pending"/>
    <n v="2.2319391107292601"/>
    <x v="3"/>
    <s v="Route A"/>
    <n v="593.48025872065102"/>
  </r>
  <r>
    <x v="1"/>
    <x v="19"/>
    <x v="19"/>
    <n v="100"/>
    <n v="187"/>
    <n v="2553.4955849912099"/>
    <x v="2"/>
    <n v="48"/>
    <n v="11"/>
    <n v="94"/>
    <n v="3"/>
    <x v="1"/>
    <n v="4.7426358828418698"/>
    <x v="3"/>
    <x v="4"/>
    <n v="20"/>
    <n v="694"/>
    <n v="16"/>
    <n v="82.373320587990193"/>
    <s v="Fail"/>
    <n v="3.64645086541702"/>
    <x v="0"/>
    <s v="Route C"/>
    <n v="477.30763109090299"/>
  </r>
  <r>
    <x v="1"/>
    <x v="20"/>
    <x v="20"/>
    <n v="22"/>
    <n v="320"/>
    <n v="8128.0276968511898"/>
    <x v="2"/>
    <n v="27"/>
    <n v="12"/>
    <n v="68"/>
    <n v="6"/>
    <x v="1"/>
    <n v="8.8783346509268402"/>
    <x v="1"/>
    <x v="4"/>
    <n v="29"/>
    <n v="309"/>
    <n v="6"/>
    <n v="65.686259608488598"/>
    <s v="Pass"/>
    <n v="4.2314165735345304"/>
    <x v="1"/>
    <s v="Route B"/>
    <n v="493.871215316205"/>
  </r>
  <r>
    <x v="2"/>
    <x v="21"/>
    <x v="21"/>
    <n v="60"/>
    <n v="601"/>
    <n v="7087.0526963574302"/>
    <x v="2"/>
    <n v="69"/>
    <n v="25"/>
    <n v="7"/>
    <n v="6"/>
    <x v="0"/>
    <n v="6.0378837692182898"/>
    <x v="2"/>
    <x v="4"/>
    <n v="19"/>
    <n v="791"/>
    <n v="4"/>
    <n v="61.735728954160898"/>
    <s v="Pending"/>
    <n v="1.8607567631014899E-2"/>
    <x v="1"/>
    <s v="Route C"/>
    <n v="523.36091472015801"/>
  </r>
  <r>
    <x v="0"/>
    <x v="22"/>
    <x v="22"/>
    <n v="55"/>
    <n v="884"/>
    <n v="2390.8078665561702"/>
    <x v="2"/>
    <n v="71"/>
    <n v="1"/>
    <n v="63"/>
    <n v="10"/>
    <x v="1"/>
    <n v="9.5676489209230393"/>
    <x v="3"/>
    <x v="1"/>
    <n v="22"/>
    <n v="780"/>
    <n v="28"/>
    <n v="50.120839612977299"/>
    <s v="Fail"/>
    <n v="2.5912754732111098"/>
    <x v="2"/>
    <s v="Route C"/>
    <n v="205.57199582694699"/>
  </r>
  <r>
    <x v="2"/>
    <x v="23"/>
    <x v="23"/>
    <n v="30"/>
    <n v="391"/>
    <n v="8858.3675710114803"/>
    <x v="2"/>
    <n v="84"/>
    <n v="5"/>
    <n v="29"/>
    <n v="7"/>
    <x v="1"/>
    <n v="2.92485760114555"/>
    <x v="2"/>
    <x v="1"/>
    <n v="11"/>
    <n v="568"/>
    <n v="29"/>
    <n v="98.6099572427038"/>
    <s v="Pending"/>
    <n v="1.3422915627227301"/>
    <x v="2"/>
    <s v="Route A"/>
    <n v="196.329446112412"/>
  </r>
  <r>
    <x v="0"/>
    <x v="24"/>
    <x v="24"/>
    <n v="32"/>
    <n v="209"/>
    <n v="9049.0778609398894"/>
    <x v="3"/>
    <n v="4"/>
    <n v="26"/>
    <n v="2"/>
    <n v="8"/>
    <x v="2"/>
    <n v="9.7412916892843597"/>
    <x v="4"/>
    <x v="3"/>
    <n v="28"/>
    <n v="447"/>
    <n v="3"/>
    <n v="40.382359702924802"/>
    <s v="Pending"/>
    <n v="3.69131029262872"/>
    <x v="1"/>
    <s v="Route A"/>
    <n v="758.72477260293795"/>
  </r>
  <r>
    <x v="0"/>
    <x v="25"/>
    <x v="25"/>
    <n v="73"/>
    <n v="142"/>
    <n v="2174.7770543506499"/>
    <x v="3"/>
    <n v="82"/>
    <n v="11"/>
    <n v="52"/>
    <n v="3"/>
    <x v="2"/>
    <n v="2.2310736812817198"/>
    <x v="3"/>
    <x v="1"/>
    <n v="19"/>
    <n v="934"/>
    <n v="23"/>
    <n v="78.280383118415301"/>
    <s v="Pending"/>
    <n v="3.79723121711418"/>
    <x v="0"/>
    <s v="Route B"/>
    <n v="458.53594573920901"/>
  </r>
  <r>
    <x v="0"/>
    <x v="26"/>
    <x v="26"/>
    <n v="9"/>
    <n v="353"/>
    <n v="3716.49332589403"/>
    <x v="3"/>
    <n v="59"/>
    <n v="16"/>
    <n v="48"/>
    <n v="4"/>
    <x v="0"/>
    <n v="6.5075486210785503"/>
    <x v="4"/>
    <x v="3"/>
    <n v="26"/>
    <n v="171"/>
    <n v="4"/>
    <n v="15.972229757181699"/>
    <s v="Pass"/>
    <n v="2.1193197367249201"/>
    <x v="2"/>
    <s v="Route A"/>
    <n v="617.86691645837698"/>
  </r>
  <r>
    <x v="2"/>
    <x v="27"/>
    <x v="27"/>
    <n v="42"/>
    <n v="352"/>
    <n v="2686.4572235759802"/>
    <x v="2"/>
    <n v="47"/>
    <n v="9"/>
    <n v="62"/>
    <n v="8"/>
    <x v="2"/>
    <n v="7.4067509529980704"/>
    <x v="2"/>
    <x v="0"/>
    <n v="25"/>
    <n v="291"/>
    <n v="4"/>
    <n v="10.5282450700421"/>
    <s v="Fail"/>
    <n v="2.8646678378833701"/>
    <x v="3"/>
    <s v="Route B"/>
    <n v="762.45918215568304"/>
  </r>
  <r>
    <x v="2"/>
    <x v="28"/>
    <x v="28"/>
    <n v="12"/>
    <n v="394"/>
    <n v="6117.3246150839896"/>
    <x v="1"/>
    <n v="48"/>
    <n v="15"/>
    <n v="24"/>
    <n v="4"/>
    <x v="0"/>
    <n v="9.8981405080692202"/>
    <x v="1"/>
    <x v="0"/>
    <n v="13"/>
    <n v="171"/>
    <n v="7"/>
    <n v="59.429381810691503"/>
    <s v="Fail"/>
    <n v="0.81575707929567198"/>
    <x v="1"/>
    <s v="Route A"/>
    <n v="123.437027511827"/>
  </r>
  <r>
    <x v="2"/>
    <x v="29"/>
    <x v="29"/>
    <n v="3"/>
    <n v="253"/>
    <n v="8318.9031946171708"/>
    <x v="1"/>
    <n v="45"/>
    <n v="5"/>
    <n v="67"/>
    <n v="7"/>
    <x v="0"/>
    <n v="8.1009731453970293"/>
    <x v="1"/>
    <x v="1"/>
    <n v="16"/>
    <n v="329"/>
    <n v="7"/>
    <n v="39.292875586065698"/>
    <s v="Pass"/>
    <n v="3.8780989365884802"/>
    <x v="0"/>
    <s v="Route B"/>
    <n v="764.93537594070801"/>
  </r>
  <r>
    <x v="0"/>
    <x v="30"/>
    <x v="30"/>
    <n v="10"/>
    <n v="327"/>
    <n v="2766.3423668660798"/>
    <x v="3"/>
    <n v="60"/>
    <n v="26"/>
    <n v="35"/>
    <n v="7"/>
    <x v="0"/>
    <n v="8.9545283153180097"/>
    <x v="3"/>
    <x v="1"/>
    <n v="27"/>
    <n v="806"/>
    <n v="30"/>
    <n v="51.634893400109299"/>
    <s v="Pending"/>
    <n v="0.96539470535239302"/>
    <x v="0"/>
    <s v="Route C"/>
    <n v="880.08098824716103"/>
  </r>
  <r>
    <x v="1"/>
    <x v="31"/>
    <x v="31"/>
    <n v="28"/>
    <n v="168"/>
    <n v="9655.1351027193905"/>
    <x v="3"/>
    <n v="6"/>
    <n v="17"/>
    <n v="44"/>
    <n v="4"/>
    <x v="0"/>
    <n v="2.6796609649813998"/>
    <x v="0"/>
    <x v="4"/>
    <n v="24"/>
    <n v="461"/>
    <n v="8"/>
    <n v="60.251145661598002"/>
    <s v="Pending"/>
    <n v="2.9890000066550702"/>
    <x v="2"/>
    <s v="Route C"/>
    <n v="609.379206618426"/>
  </r>
  <r>
    <x v="1"/>
    <x v="32"/>
    <x v="32"/>
    <n v="43"/>
    <n v="781"/>
    <n v="9571.5504873278096"/>
    <x v="2"/>
    <n v="89"/>
    <n v="13"/>
    <n v="64"/>
    <n v="4"/>
    <x v="2"/>
    <n v="6.5991049012385803"/>
    <x v="0"/>
    <x v="1"/>
    <n v="30"/>
    <n v="737"/>
    <n v="7"/>
    <n v="29.6924671537497"/>
    <s v="Pass"/>
    <n v="1.94603611938611"/>
    <x v="0"/>
    <s v="Route A"/>
    <n v="761.17390951487698"/>
  </r>
  <r>
    <x v="2"/>
    <x v="33"/>
    <x v="33"/>
    <n v="63"/>
    <n v="616"/>
    <n v="5149.9983504080301"/>
    <x v="0"/>
    <n v="4"/>
    <n v="17"/>
    <n v="95"/>
    <n v="9"/>
    <x v="2"/>
    <n v="4.85827050343664"/>
    <x v="2"/>
    <x v="4"/>
    <n v="1"/>
    <n v="251"/>
    <n v="23"/>
    <n v="23.853427512896101"/>
    <s v="Fail"/>
    <n v="3.54104601225092"/>
    <x v="3"/>
    <s v="Route A"/>
    <n v="371.25529551987103"/>
  </r>
  <r>
    <x v="1"/>
    <x v="34"/>
    <x v="34"/>
    <n v="96"/>
    <n v="602"/>
    <n v="9061.7108955077201"/>
    <x v="2"/>
    <n v="1"/>
    <n v="26"/>
    <n v="21"/>
    <n v="7"/>
    <x v="1"/>
    <n v="1.0194875708221101"/>
    <x v="1"/>
    <x v="4"/>
    <n v="4"/>
    <n v="452"/>
    <n v="10"/>
    <n v="10.754272815029299"/>
    <s v="Pass"/>
    <n v="0.64660455937205397"/>
    <x v="0"/>
    <s v="Route B"/>
    <n v="510.35800043352299"/>
  </r>
  <r>
    <x v="2"/>
    <x v="35"/>
    <x v="35"/>
    <n v="11"/>
    <n v="449"/>
    <n v="6541.3293448024597"/>
    <x v="1"/>
    <n v="42"/>
    <n v="27"/>
    <n v="85"/>
    <n v="8"/>
    <x v="2"/>
    <n v="5.2881899903273997"/>
    <x v="1"/>
    <x v="2"/>
    <n v="3"/>
    <n v="367"/>
    <n v="2"/>
    <n v="58.004787044743701"/>
    <s v="Pass"/>
    <n v="0.54115409806058101"/>
    <x v="3"/>
    <s v="Route C"/>
    <n v="553.42047123035502"/>
  </r>
  <r>
    <x v="1"/>
    <x v="36"/>
    <x v="36"/>
    <n v="34"/>
    <n v="963"/>
    <n v="7573.4024578487297"/>
    <x v="1"/>
    <n v="18"/>
    <n v="23"/>
    <n v="28"/>
    <n v="3"/>
    <x v="0"/>
    <n v="2.1079512671590801"/>
    <x v="4"/>
    <x v="2"/>
    <n v="26"/>
    <n v="671"/>
    <n v="19"/>
    <n v="45.531364237162101"/>
    <s v="Fail"/>
    <n v="3.8055333792433501"/>
    <x v="1"/>
    <s v="Route C"/>
    <n v="403.80897424817999"/>
  </r>
  <r>
    <x v="1"/>
    <x v="37"/>
    <x v="37"/>
    <n v="5"/>
    <n v="963"/>
    <n v="2438.3399304700201"/>
    <x v="1"/>
    <n v="25"/>
    <n v="8"/>
    <n v="21"/>
    <n v="9"/>
    <x v="1"/>
    <n v="1.53265527359043"/>
    <x v="0"/>
    <x v="1"/>
    <n v="24"/>
    <n v="867"/>
    <n v="15"/>
    <n v="34.343277465075303"/>
    <s v="Pending"/>
    <n v="2.61028808484811"/>
    <x v="3"/>
    <s v="Route A"/>
    <n v="183.932968043594"/>
  </r>
  <r>
    <x v="2"/>
    <x v="38"/>
    <x v="38"/>
    <n v="75"/>
    <n v="705"/>
    <n v="9692.3180402184298"/>
    <x v="0"/>
    <n v="69"/>
    <n v="1"/>
    <n v="88"/>
    <n v="5"/>
    <x v="0"/>
    <n v="9.2359314372492207"/>
    <x v="2"/>
    <x v="0"/>
    <n v="10"/>
    <n v="841"/>
    <n v="12"/>
    <n v="5.9306936455283097"/>
    <s v="Pending"/>
    <n v="0.613326899164507"/>
    <x v="1"/>
    <s v="Route B"/>
    <n v="339.67286994860598"/>
  </r>
  <r>
    <x v="1"/>
    <x v="39"/>
    <x v="39"/>
    <n v="26"/>
    <n v="176"/>
    <n v="1912.4656631007599"/>
    <x v="1"/>
    <n v="78"/>
    <n v="29"/>
    <n v="34"/>
    <n v="3"/>
    <x v="1"/>
    <n v="5.5625037788303802"/>
    <x v="4"/>
    <x v="1"/>
    <n v="30"/>
    <n v="791"/>
    <n v="6"/>
    <n v="9.0058074287816403"/>
    <s v="Fail"/>
    <n v="1.4519722039968099"/>
    <x v="1"/>
    <s v="Route B"/>
    <n v="653.67299455203295"/>
  </r>
  <r>
    <x v="1"/>
    <x v="40"/>
    <x v="40"/>
    <n v="97"/>
    <n v="933"/>
    <n v="5724.9593504562599"/>
    <x v="1"/>
    <n v="90"/>
    <n v="20"/>
    <n v="39"/>
    <n v="8"/>
    <x v="2"/>
    <n v="7.2295951397364702"/>
    <x v="1"/>
    <x v="1"/>
    <n v="18"/>
    <n v="793"/>
    <n v="1"/>
    <n v="88.179407104217404"/>
    <s v="Pending"/>
    <n v="4.2132694305865597"/>
    <x v="0"/>
    <s v="Route A"/>
    <n v="529.80872398069096"/>
  </r>
  <r>
    <x v="1"/>
    <x v="41"/>
    <x v="41"/>
    <n v="35"/>
    <n v="556"/>
    <n v="5521.2052590109697"/>
    <x v="1"/>
    <n v="64"/>
    <n v="19"/>
    <n v="38"/>
    <n v="8"/>
    <x v="0"/>
    <n v="5.7732637437666501"/>
    <x v="3"/>
    <x v="4"/>
    <n v="18"/>
    <n v="892"/>
    <n v="7"/>
    <n v="95.332064548772493"/>
    <s v="Fail"/>
    <n v="4.5302262398259602E-2"/>
    <x v="3"/>
    <s v="Route A"/>
    <n v="275.52437113130901"/>
  </r>
  <r>
    <x v="1"/>
    <x v="42"/>
    <x v="42"/>
    <n v="98"/>
    <n v="155"/>
    <n v="1839.60942585676"/>
    <x v="1"/>
    <n v="22"/>
    <n v="27"/>
    <n v="57"/>
    <n v="4"/>
    <x v="2"/>
    <n v="7.5262483268515004"/>
    <x v="2"/>
    <x v="3"/>
    <n v="26"/>
    <n v="179"/>
    <n v="7"/>
    <n v="96.422820639571796"/>
    <s v="Fail"/>
    <n v="4.9392552886209398"/>
    <x v="0"/>
    <s v="Route A"/>
    <n v="635.65712050199102"/>
  </r>
  <r>
    <x v="0"/>
    <x v="43"/>
    <x v="43"/>
    <n v="6"/>
    <n v="598"/>
    <n v="5737.4255991190203"/>
    <x v="2"/>
    <n v="36"/>
    <n v="29"/>
    <n v="85"/>
    <n v="9"/>
    <x v="0"/>
    <n v="3.6940212683884499"/>
    <x v="2"/>
    <x v="0"/>
    <n v="1"/>
    <n v="206"/>
    <n v="23"/>
    <n v="26.2773659573324"/>
    <s v="Pending"/>
    <n v="0.37230476798509698"/>
    <x v="1"/>
    <s v="Route A"/>
    <n v="716.04411975933999"/>
  </r>
  <r>
    <x v="2"/>
    <x v="44"/>
    <x v="44"/>
    <n v="34"/>
    <n v="919"/>
    <n v="7152.28604943551"/>
    <x v="1"/>
    <n v="13"/>
    <n v="19"/>
    <n v="72"/>
    <n v="6"/>
    <x v="2"/>
    <n v="7.5774496573766896"/>
    <x v="4"/>
    <x v="2"/>
    <n v="7"/>
    <n v="834"/>
    <n v="18"/>
    <n v="22.554106620887701"/>
    <s v="Fail"/>
    <n v="2.9626263204548802"/>
    <x v="2"/>
    <s v="Route A"/>
    <n v="610.45326961922694"/>
  </r>
  <r>
    <x v="0"/>
    <x v="45"/>
    <x v="45"/>
    <n v="1"/>
    <n v="24"/>
    <n v="5267.9568075105199"/>
    <x v="3"/>
    <n v="93"/>
    <n v="7"/>
    <n v="52"/>
    <n v="6"/>
    <x v="0"/>
    <n v="5.2151550087119096"/>
    <x v="4"/>
    <x v="4"/>
    <n v="25"/>
    <n v="794"/>
    <n v="25"/>
    <n v="66.312544439991598"/>
    <s v="Pass"/>
    <n v="3.2196046120841002"/>
    <x v="2"/>
    <s v="Route A"/>
    <n v="495.30569702847299"/>
  </r>
  <r>
    <x v="0"/>
    <x v="46"/>
    <x v="46"/>
    <n v="75"/>
    <n v="859"/>
    <n v="2556.7673606335902"/>
    <x v="0"/>
    <n v="92"/>
    <n v="29"/>
    <n v="6"/>
    <n v="8"/>
    <x v="0"/>
    <n v="4.0709558370840799"/>
    <x v="0"/>
    <x v="4"/>
    <n v="18"/>
    <n v="870"/>
    <n v="23"/>
    <n v="77.322353211051606"/>
    <s v="Pending"/>
    <n v="3.6486105925361998"/>
    <x v="0"/>
    <s v="Route B"/>
    <n v="380.43593711196399"/>
  </r>
  <r>
    <x v="1"/>
    <x v="47"/>
    <x v="47"/>
    <n v="93"/>
    <n v="910"/>
    <n v="7089.4742499341801"/>
    <x v="3"/>
    <n v="4"/>
    <n v="15"/>
    <n v="51"/>
    <n v="9"/>
    <x v="0"/>
    <n v="8.9787507559499709"/>
    <x v="1"/>
    <x v="1"/>
    <n v="10"/>
    <n v="964"/>
    <n v="20"/>
    <n v="19.7129929112936"/>
    <s v="Pending"/>
    <n v="0.38057358671321301"/>
    <x v="2"/>
    <s v="Route A"/>
    <n v="581.60235505058597"/>
  </r>
  <r>
    <x v="0"/>
    <x v="48"/>
    <x v="48"/>
    <n v="28"/>
    <n v="29"/>
    <n v="7397.0710045871801"/>
    <x v="0"/>
    <n v="30"/>
    <n v="16"/>
    <n v="9"/>
    <n v="3"/>
    <x v="2"/>
    <n v="7.0958331565551296"/>
    <x v="4"/>
    <x v="0"/>
    <n v="9"/>
    <n v="109"/>
    <n v="18"/>
    <n v="23.126363582464698"/>
    <s v="Fail"/>
    <n v="1.6981125407144"/>
    <x v="2"/>
    <s v="Route B"/>
    <n v="768.65191395437"/>
  </r>
  <r>
    <x v="2"/>
    <x v="49"/>
    <x v="49"/>
    <n v="19"/>
    <n v="99"/>
    <n v="8001.6132065190004"/>
    <x v="2"/>
    <n v="97"/>
    <n v="24"/>
    <n v="9"/>
    <n v="6"/>
    <x v="2"/>
    <n v="2.5056210329009101"/>
    <x v="2"/>
    <x v="2"/>
    <n v="28"/>
    <n v="177"/>
    <n v="28"/>
    <n v="14.1478154439792"/>
    <s v="Pass"/>
    <n v="2.8258139854001301"/>
    <x v="2"/>
    <s v="Route A"/>
    <n v="336.89016851997701"/>
  </r>
  <r>
    <x v="2"/>
    <x v="50"/>
    <x v="50"/>
    <n v="91"/>
    <n v="633"/>
    <n v="5910.8853896688897"/>
    <x v="1"/>
    <n v="31"/>
    <n v="23"/>
    <n v="82"/>
    <n v="10"/>
    <x v="1"/>
    <n v="6.2478609149759903"/>
    <x v="4"/>
    <x v="2"/>
    <n v="20"/>
    <n v="306"/>
    <n v="21"/>
    <n v="45.178757924634503"/>
    <s v="Fail"/>
    <n v="4.7548008046711798"/>
    <x v="2"/>
    <s v="Route B"/>
    <n v="496.24865029194001"/>
  </r>
  <r>
    <x v="0"/>
    <x v="51"/>
    <x v="51"/>
    <n v="61"/>
    <n v="154"/>
    <n v="9866.4654579796897"/>
    <x v="3"/>
    <n v="100"/>
    <n v="4"/>
    <n v="52"/>
    <n v="1"/>
    <x v="1"/>
    <n v="4.78300055794766"/>
    <x v="2"/>
    <x v="3"/>
    <n v="18"/>
    <n v="673"/>
    <n v="28"/>
    <n v="14.190328344569901"/>
    <s v="Pending"/>
    <n v="1.77295117208355"/>
    <x v="0"/>
    <s v="Route A"/>
    <n v="694.98231757944495"/>
  </r>
  <r>
    <x v="1"/>
    <x v="52"/>
    <x v="52"/>
    <n v="1"/>
    <n v="820"/>
    <n v="9435.7626089121295"/>
    <x v="3"/>
    <n v="64"/>
    <n v="11"/>
    <n v="11"/>
    <n v="1"/>
    <x v="0"/>
    <n v="8.6310521797689397"/>
    <x v="1"/>
    <x v="0"/>
    <n v="10"/>
    <n v="727"/>
    <n v="27"/>
    <n v="9.1668491485971497"/>
    <s v="Pending"/>
    <n v="2.1224716191438202"/>
    <x v="1"/>
    <s v="Route C"/>
    <n v="602.89849883838303"/>
  </r>
  <r>
    <x v="1"/>
    <x v="53"/>
    <x v="53"/>
    <n v="93"/>
    <n v="242"/>
    <n v="8232.3348294258194"/>
    <x v="3"/>
    <n v="96"/>
    <n v="25"/>
    <n v="54"/>
    <n v="3"/>
    <x v="0"/>
    <n v="1.0134865660958901"/>
    <x v="1"/>
    <x v="2"/>
    <n v="1"/>
    <n v="631"/>
    <n v="17"/>
    <n v="83.344058991677898"/>
    <s v="Pending"/>
    <n v="1.41034757607602"/>
    <x v="1"/>
    <s v="Route B"/>
    <n v="750.73784066827"/>
  </r>
  <r>
    <x v="0"/>
    <x v="54"/>
    <x v="54"/>
    <n v="11"/>
    <n v="622"/>
    <n v="6088.0214799408504"/>
    <x v="0"/>
    <n v="33"/>
    <n v="22"/>
    <n v="61"/>
    <n v="3"/>
    <x v="0"/>
    <n v="4.3051034712876302"/>
    <x v="1"/>
    <x v="1"/>
    <n v="26"/>
    <n v="497"/>
    <n v="29"/>
    <n v="30.186023375822501"/>
    <s v="Pass"/>
    <n v="2.4787719755397402"/>
    <x v="0"/>
    <s v="Route B"/>
    <n v="814.06999658218695"/>
  </r>
  <r>
    <x v="0"/>
    <x v="55"/>
    <x v="55"/>
    <n v="16"/>
    <n v="701"/>
    <n v="2925.6751703038099"/>
    <x v="3"/>
    <n v="97"/>
    <n v="11"/>
    <n v="11"/>
    <n v="5"/>
    <x v="1"/>
    <n v="5.0143649550309002"/>
    <x v="4"/>
    <x v="2"/>
    <n v="27"/>
    <n v="918"/>
    <n v="5"/>
    <n v="30.323545256616502"/>
    <s v="Fail"/>
    <n v="4.5489196593963799"/>
    <x v="3"/>
    <s v="Route B"/>
    <n v="323.01292795247798"/>
  </r>
  <r>
    <x v="1"/>
    <x v="56"/>
    <x v="56"/>
    <n v="90"/>
    <n v="93"/>
    <n v="4767.0204843441297"/>
    <x v="0"/>
    <n v="25"/>
    <n v="23"/>
    <n v="83"/>
    <n v="5"/>
    <x v="2"/>
    <n v="1.77442971407173"/>
    <x v="1"/>
    <x v="0"/>
    <n v="24"/>
    <n v="826"/>
    <n v="28"/>
    <n v="12.8362845728327"/>
    <s v="Pass"/>
    <n v="1.1737554953874501"/>
    <x v="1"/>
    <s v="Route B"/>
    <n v="832.210808706021"/>
  </r>
  <r>
    <x v="0"/>
    <x v="57"/>
    <x v="57"/>
    <n v="65"/>
    <n v="227"/>
    <n v="1605.8669003924001"/>
    <x v="2"/>
    <n v="5"/>
    <n v="18"/>
    <n v="51"/>
    <n v="1"/>
    <x v="0"/>
    <n v="9.1605585353818704"/>
    <x v="4"/>
    <x v="2"/>
    <n v="21"/>
    <n v="588"/>
    <n v="25"/>
    <n v="67.779622987078099"/>
    <s v="Pending"/>
    <n v="2.5111748302126999"/>
    <x v="2"/>
    <s v="Route A"/>
    <n v="482.19123860252802"/>
  </r>
  <r>
    <x v="1"/>
    <x v="58"/>
    <x v="58"/>
    <n v="81"/>
    <n v="896"/>
    <n v="2021.1498103371"/>
    <x v="0"/>
    <n v="10"/>
    <n v="5"/>
    <n v="44"/>
    <n v="7"/>
    <x v="1"/>
    <n v="4.9384385647120901"/>
    <x v="0"/>
    <x v="2"/>
    <n v="18"/>
    <n v="396"/>
    <n v="7"/>
    <n v="65.047415094691402"/>
    <s v="Fail"/>
    <n v="1.7303747198591899"/>
    <x v="0"/>
    <s v="Route B"/>
    <n v="110.364335231364"/>
  </r>
  <r>
    <x v="2"/>
    <x v="59"/>
    <x v="59"/>
    <n v="30"/>
    <n v="484"/>
    <n v="1061.6185230132801"/>
    <x v="0"/>
    <n v="100"/>
    <n v="16"/>
    <n v="26"/>
    <n v="7"/>
    <x v="0"/>
    <n v="7.2937225968677204"/>
    <x v="1"/>
    <x v="1"/>
    <n v="11"/>
    <n v="176"/>
    <n v="4"/>
    <n v="1.90076224351945"/>
    <s v="Fail"/>
    <n v="0.44719401546382298"/>
    <x v="1"/>
    <s v="Route A"/>
    <n v="312.57427361009297"/>
  </r>
  <r>
    <x v="1"/>
    <x v="60"/>
    <x v="60"/>
    <n v="16"/>
    <n v="380"/>
    <n v="8864.0843495864301"/>
    <x v="1"/>
    <n v="41"/>
    <n v="27"/>
    <n v="72"/>
    <n v="8"/>
    <x v="2"/>
    <n v="4.3813681581023101"/>
    <x v="3"/>
    <x v="0"/>
    <n v="29"/>
    <n v="929"/>
    <n v="24"/>
    <n v="87.213057815135599"/>
    <s v="Fail"/>
    <n v="2.8530906166490499"/>
    <x v="2"/>
    <s v="Route A"/>
    <n v="430.16909697513597"/>
  </r>
  <r>
    <x v="0"/>
    <x v="61"/>
    <x v="61"/>
    <n v="23"/>
    <n v="117"/>
    <n v="6885.5893508962499"/>
    <x v="2"/>
    <n v="32"/>
    <n v="23"/>
    <n v="36"/>
    <n v="7"/>
    <x v="2"/>
    <n v="9.0303404225219399"/>
    <x v="3"/>
    <x v="1"/>
    <n v="14"/>
    <n v="480"/>
    <n v="12"/>
    <n v="78.702393968878894"/>
    <s v="Fail"/>
    <n v="4.3674705382050503"/>
    <x v="1"/>
    <s v="Route A"/>
    <n v="164.366528243419"/>
  </r>
  <r>
    <x v="2"/>
    <x v="62"/>
    <x v="62"/>
    <n v="89"/>
    <n v="270"/>
    <n v="3899.7468337292198"/>
    <x v="2"/>
    <n v="86"/>
    <n v="2"/>
    <n v="40"/>
    <n v="7"/>
    <x v="2"/>
    <n v="7.2917013887767697"/>
    <x v="4"/>
    <x v="0"/>
    <n v="13"/>
    <n v="751"/>
    <n v="14"/>
    <n v="21.048642725168602"/>
    <s v="Pass"/>
    <n v="1.87400140404437"/>
    <x v="3"/>
    <s v="Route C"/>
    <n v="320.84651575911101"/>
  </r>
  <r>
    <x v="1"/>
    <x v="63"/>
    <x v="63"/>
    <n v="55"/>
    <n v="246"/>
    <n v="4256.9491408502199"/>
    <x v="0"/>
    <n v="54"/>
    <n v="19"/>
    <n v="10"/>
    <n v="4"/>
    <x v="1"/>
    <n v="2.45793352798733"/>
    <x v="0"/>
    <x v="3"/>
    <n v="18"/>
    <n v="736"/>
    <n v="10"/>
    <n v="20.075003975630398"/>
    <s v="Pending"/>
    <n v="3.6328432903821302"/>
    <x v="3"/>
    <s v="Route A"/>
    <n v="687.28617786641701"/>
  </r>
  <r>
    <x v="1"/>
    <x v="64"/>
    <x v="64"/>
    <n v="11"/>
    <n v="134"/>
    <n v="8458.7308783671706"/>
    <x v="1"/>
    <n v="73"/>
    <n v="27"/>
    <n v="75"/>
    <n v="6"/>
    <x v="2"/>
    <n v="4.5853534681946497"/>
    <x v="1"/>
    <x v="2"/>
    <n v="17"/>
    <n v="328"/>
    <n v="6"/>
    <n v="8.6930424258772803"/>
    <s v="Fail"/>
    <n v="0.15948631471751401"/>
    <x v="1"/>
    <s v="Route C"/>
    <n v="771.225084681157"/>
  </r>
  <r>
    <x v="1"/>
    <x v="65"/>
    <x v="65"/>
    <n v="72"/>
    <n v="457"/>
    <n v="8354.5796864819895"/>
    <x v="3"/>
    <n v="57"/>
    <n v="24"/>
    <n v="54"/>
    <n v="8"/>
    <x v="2"/>
    <n v="6.5805413478845898"/>
    <x v="2"/>
    <x v="1"/>
    <n v="16"/>
    <n v="358"/>
    <n v="21"/>
    <n v="1.59722274305067"/>
    <s v="Fail"/>
    <n v="4.9110959548423301"/>
    <x v="2"/>
    <s v="Route C"/>
    <n v="555.85910367174301"/>
  </r>
  <r>
    <x v="1"/>
    <x v="66"/>
    <x v="66"/>
    <n v="52"/>
    <n v="704"/>
    <n v="8367.7216180201503"/>
    <x v="1"/>
    <n v="13"/>
    <n v="17"/>
    <n v="19"/>
    <n v="8"/>
    <x v="1"/>
    <n v="2.2161427287713602"/>
    <x v="2"/>
    <x v="1"/>
    <n v="24"/>
    <n v="867"/>
    <n v="28"/>
    <n v="42.084436738309897"/>
    <s v="Fail"/>
    <n v="3.44806328834026"/>
    <x v="0"/>
    <s v="Route A"/>
    <n v="393.84334857842703"/>
  </r>
  <r>
    <x v="1"/>
    <x v="67"/>
    <x v="67"/>
    <n v="16"/>
    <n v="513"/>
    <n v="9473.7980325083299"/>
    <x v="2"/>
    <n v="12"/>
    <n v="9"/>
    <n v="71"/>
    <n v="9"/>
    <x v="2"/>
    <n v="9.1478115447106294"/>
    <x v="1"/>
    <x v="0"/>
    <n v="10"/>
    <n v="198"/>
    <n v="11"/>
    <n v="7.0578761469782298"/>
    <s v="Pass"/>
    <n v="0.131955444311814"/>
    <x v="3"/>
    <s v="Route C"/>
    <n v="169.27180138478599"/>
  </r>
  <r>
    <x v="0"/>
    <x v="68"/>
    <x v="68"/>
    <n v="29"/>
    <n v="163"/>
    <n v="3550.21843278099"/>
    <x v="0"/>
    <n v="0"/>
    <n v="8"/>
    <n v="58"/>
    <n v="8"/>
    <x v="0"/>
    <n v="1.19425186488499"/>
    <x v="4"/>
    <x v="3"/>
    <n v="2"/>
    <n v="375"/>
    <n v="18"/>
    <n v="97.113581563462205"/>
    <s v="Fail"/>
    <n v="1.9834678721741801"/>
    <x v="2"/>
    <s v="Route A"/>
    <n v="299.70630311810299"/>
  </r>
  <r>
    <x v="1"/>
    <x v="69"/>
    <x v="69"/>
    <n v="62"/>
    <n v="511"/>
    <n v="1752.3810874841199"/>
    <x v="0"/>
    <n v="95"/>
    <n v="1"/>
    <n v="27"/>
    <n v="3"/>
    <x v="0"/>
    <n v="9.7052867901203399"/>
    <x v="3"/>
    <x v="1"/>
    <n v="9"/>
    <n v="862"/>
    <n v="7"/>
    <n v="77.627765812748095"/>
    <s v="Pending"/>
    <n v="1.3623879886490999"/>
    <x v="1"/>
    <s v="Route A"/>
    <n v="207.66320620857499"/>
  </r>
  <r>
    <x v="0"/>
    <x v="70"/>
    <x v="70"/>
    <n v="90"/>
    <n v="32"/>
    <n v="7014.8879872033804"/>
    <x v="1"/>
    <n v="10"/>
    <n v="12"/>
    <n v="22"/>
    <n v="4"/>
    <x v="0"/>
    <n v="6.3157177546007199"/>
    <x v="1"/>
    <x v="3"/>
    <n v="22"/>
    <n v="775"/>
    <n v="16"/>
    <n v="11.440781823761199"/>
    <s v="Pass"/>
    <n v="1.8305755986122301"/>
    <x v="0"/>
    <s v="Route C"/>
    <n v="183.27289874871099"/>
  </r>
  <r>
    <x v="2"/>
    <x v="71"/>
    <x v="71"/>
    <n v="14"/>
    <n v="637"/>
    <n v="8180.3370854254399"/>
    <x v="1"/>
    <n v="76"/>
    <n v="2"/>
    <n v="26"/>
    <n v="6"/>
    <x v="1"/>
    <n v="9.2281903170525101"/>
    <x v="4"/>
    <x v="3"/>
    <n v="2"/>
    <n v="258"/>
    <n v="10"/>
    <n v="30.661677477859499"/>
    <s v="Pending"/>
    <n v="2.07875060787496"/>
    <x v="0"/>
    <s v="Route A"/>
    <n v="405.167067888855"/>
  </r>
  <r>
    <x v="2"/>
    <x v="72"/>
    <x v="72"/>
    <n v="88"/>
    <n v="478"/>
    <n v="2633.1219813122498"/>
    <x v="0"/>
    <n v="57"/>
    <n v="29"/>
    <n v="77"/>
    <n v="9"/>
    <x v="1"/>
    <n v="6.5996141596895397"/>
    <x v="1"/>
    <x v="3"/>
    <n v="21"/>
    <n v="152"/>
    <n v="11"/>
    <n v="55.760492895244198"/>
    <s v="Pending"/>
    <n v="3.2133296074383"/>
    <x v="2"/>
    <s v="Route B"/>
    <n v="677.94456984618296"/>
  </r>
  <r>
    <x v="2"/>
    <x v="73"/>
    <x v="73"/>
    <n v="41"/>
    <n v="375"/>
    <n v="7910.8869161406801"/>
    <x v="3"/>
    <n v="17"/>
    <n v="25"/>
    <n v="66"/>
    <n v="5"/>
    <x v="0"/>
    <n v="1.5129368369160701"/>
    <x v="3"/>
    <x v="4"/>
    <n v="13"/>
    <n v="444"/>
    <n v="4"/>
    <n v="46.870238797617098"/>
    <s v="Fail"/>
    <n v="4.6205460645137002"/>
    <x v="0"/>
    <s v="Route A"/>
    <n v="866.472800129657"/>
  </r>
  <r>
    <x v="0"/>
    <x v="74"/>
    <x v="74"/>
    <n v="64"/>
    <n v="904"/>
    <n v="5709.9452959692799"/>
    <x v="1"/>
    <n v="41"/>
    <n v="6"/>
    <n v="1"/>
    <n v="5"/>
    <x v="1"/>
    <n v="5.2376546500374399"/>
    <x v="3"/>
    <x v="2"/>
    <n v="1"/>
    <n v="919"/>
    <n v="9"/>
    <n v="80.580852156447804"/>
    <s v="Fail"/>
    <n v="0.39661272410993498"/>
    <x v="2"/>
    <s v="Route A"/>
    <n v="341.55265678322297"/>
  </r>
  <r>
    <x v="1"/>
    <x v="75"/>
    <x v="75"/>
    <n v="29"/>
    <n v="106"/>
    <n v="1889.07358977933"/>
    <x v="0"/>
    <n v="16"/>
    <n v="20"/>
    <n v="56"/>
    <n v="10"/>
    <x v="2"/>
    <n v="2.47389776104546"/>
    <x v="1"/>
    <x v="4"/>
    <n v="25"/>
    <n v="759"/>
    <n v="11"/>
    <n v="48.064782640006499"/>
    <s v="Pass"/>
    <n v="2.0300690886687498"/>
    <x v="1"/>
    <s v="Route C"/>
    <n v="873.12964801765099"/>
  </r>
  <r>
    <x v="0"/>
    <x v="76"/>
    <x v="76"/>
    <n v="23"/>
    <n v="241"/>
    <n v="5328.3759842977497"/>
    <x v="3"/>
    <n v="38"/>
    <n v="1"/>
    <n v="22"/>
    <n v="10"/>
    <x v="1"/>
    <n v="7.0545383368369201"/>
    <x v="4"/>
    <x v="3"/>
    <n v="25"/>
    <n v="985"/>
    <n v="24"/>
    <n v="64.323597795600193"/>
    <s v="Pending"/>
    <n v="2.1800374515822099"/>
    <x v="2"/>
    <s v="Route A"/>
    <n v="997.41345013319403"/>
  </r>
  <r>
    <x v="0"/>
    <x v="77"/>
    <x v="77"/>
    <n v="14"/>
    <n v="359"/>
    <n v="2483.7601775427902"/>
    <x v="2"/>
    <n v="96"/>
    <n v="28"/>
    <n v="57"/>
    <n v="4"/>
    <x v="0"/>
    <n v="6.7809466256178901"/>
    <x v="1"/>
    <x v="1"/>
    <n v="26"/>
    <n v="334"/>
    <n v="5"/>
    <n v="42.952444748991802"/>
    <s v="Pass"/>
    <n v="3.0551418183075398"/>
    <x v="0"/>
    <s v="Route B"/>
    <n v="852.56809891984994"/>
  </r>
  <r>
    <x v="0"/>
    <x v="78"/>
    <x v="78"/>
    <n v="50"/>
    <n v="946"/>
    <n v="1292.45841793775"/>
    <x v="2"/>
    <n v="5"/>
    <n v="4"/>
    <n v="51"/>
    <n v="5"/>
    <x v="0"/>
    <n v="8.4670497708619905"/>
    <x v="2"/>
    <x v="0"/>
    <n v="25"/>
    <n v="858"/>
    <n v="21"/>
    <n v="71.126514720403307"/>
    <s v="Pending"/>
    <n v="4.0968813324704501"/>
    <x v="3"/>
    <s v="Route C"/>
    <n v="323.59220343132199"/>
  </r>
  <r>
    <x v="0"/>
    <x v="79"/>
    <x v="79"/>
    <n v="56"/>
    <n v="198"/>
    <n v="7888.7232684270803"/>
    <x v="0"/>
    <n v="31"/>
    <n v="25"/>
    <n v="20"/>
    <n v="1"/>
    <x v="0"/>
    <n v="6.49632536429504"/>
    <x v="0"/>
    <x v="3"/>
    <n v="5"/>
    <n v="228"/>
    <n v="12"/>
    <n v="57.870902924036201"/>
    <s v="Pending"/>
    <n v="0.16587162748060799"/>
    <x v="1"/>
    <s v="Route C"/>
    <n v="351.50421933503799"/>
  </r>
  <r>
    <x v="1"/>
    <x v="80"/>
    <x v="80"/>
    <n v="75"/>
    <n v="872"/>
    <n v="8651.67268298206"/>
    <x v="2"/>
    <n v="39"/>
    <n v="14"/>
    <n v="41"/>
    <n v="2"/>
    <x v="2"/>
    <n v="2.8331846794189701"/>
    <x v="0"/>
    <x v="4"/>
    <n v="8"/>
    <n v="202"/>
    <n v="5"/>
    <n v="76.961228023819999"/>
    <s v="Fail"/>
    <n v="2.8496621985053299"/>
    <x v="3"/>
    <s v="Route B"/>
    <n v="787.77985049434403"/>
  </r>
  <r>
    <x v="0"/>
    <x v="81"/>
    <x v="81"/>
    <n v="9"/>
    <n v="774"/>
    <n v="4384.4134000458598"/>
    <x v="2"/>
    <n v="48"/>
    <n v="6"/>
    <n v="8"/>
    <n v="5"/>
    <x v="0"/>
    <n v="4.0662775015120403"/>
    <x v="0"/>
    <x v="2"/>
    <n v="28"/>
    <n v="698"/>
    <n v="1"/>
    <n v="19.789592941903599"/>
    <s v="Pending"/>
    <n v="2.54754712154871"/>
    <x v="2"/>
    <s v="Route B"/>
    <n v="276.77833594679799"/>
  </r>
  <r>
    <x v="1"/>
    <x v="82"/>
    <x v="82"/>
    <n v="13"/>
    <n v="336"/>
    <n v="2943.3818676094502"/>
    <x v="2"/>
    <n v="42"/>
    <n v="19"/>
    <n v="72"/>
    <n v="1"/>
    <x v="1"/>
    <n v="4.7081818735419301"/>
    <x v="4"/>
    <x v="0"/>
    <n v="6"/>
    <n v="955"/>
    <n v="26"/>
    <n v="4.4652784349432402"/>
    <s v="Pending"/>
    <n v="4.1378770486223502"/>
    <x v="0"/>
    <s v="Route C"/>
    <n v="589.97855562804"/>
  </r>
  <r>
    <x v="0"/>
    <x v="83"/>
    <x v="83"/>
    <n v="82"/>
    <n v="663"/>
    <n v="2411.7546321104901"/>
    <x v="2"/>
    <n v="65"/>
    <n v="24"/>
    <n v="7"/>
    <n v="8"/>
    <x v="0"/>
    <n v="4.94983957799694"/>
    <x v="1"/>
    <x v="3"/>
    <n v="20"/>
    <n v="443"/>
    <n v="5"/>
    <n v="97.730593800533001"/>
    <s v="Fail"/>
    <n v="0.77300613406724705"/>
    <x v="0"/>
    <s v="Route A"/>
    <n v="682.97101822609295"/>
  </r>
  <r>
    <x v="0"/>
    <x v="84"/>
    <x v="84"/>
    <n v="99"/>
    <n v="618"/>
    <n v="2048.2900998487098"/>
    <x v="2"/>
    <n v="73"/>
    <n v="26"/>
    <n v="80"/>
    <n v="10"/>
    <x v="1"/>
    <n v="8.3816156249226292"/>
    <x v="2"/>
    <x v="4"/>
    <n v="24"/>
    <n v="589"/>
    <n v="22"/>
    <n v="33.808636513209002"/>
    <s v="Pass"/>
    <n v="4.8434565771180402"/>
    <x v="1"/>
    <s v="Route B"/>
    <n v="465.45700596368698"/>
  </r>
  <r>
    <x v="2"/>
    <x v="85"/>
    <x v="85"/>
    <n v="83"/>
    <n v="25"/>
    <n v="8684.6130592538502"/>
    <x v="1"/>
    <n v="15"/>
    <n v="18"/>
    <n v="66"/>
    <n v="2"/>
    <x v="2"/>
    <n v="8.2491687048717193"/>
    <x v="2"/>
    <x v="4"/>
    <n v="4"/>
    <n v="211"/>
    <n v="2"/>
    <n v="69.929345518672307"/>
    <s v="Fail"/>
    <n v="1.3744289997457499"/>
    <x v="0"/>
    <s v="Route B"/>
    <n v="842.68683000464102"/>
  </r>
  <r>
    <x v="1"/>
    <x v="86"/>
    <x v="86"/>
    <n v="18"/>
    <n v="223"/>
    <n v="1229.59102856498"/>
    <x v="2"/>
    <n v="32"/>
    <n v="14"/>
    <n v="22"/>
    <n v="6"/>
    <x v="0"/>
    <n v="1.4543053101535499"/>
    <x v="1"/>
    <x v="0"/>
    <n v="4"/>
    <n v="569"/>
    <n v="18"/>
    <n v="74.608969995194599"/>
    <s v="Pass"/>
    <n v="2.0515129307662399"/>
    <x v="2"/>
    <s v="Route A"/>
    <n v="264.25488983586598"/>
  </r>
  <r>
    <x v="0"/>
    <x v="87"/>
    <x v="87"/>
    <n v="24"/>
    <n v="79"/>
    <n v="5133.8467010866898"/>
    <x v="3"/>
    <n v="5"/>
    <n v="7"/>
    <n v="55"/>
    <n v="10"/>
    <x v="1"/>
    <n v="6.5758037975485299"/>
    <x v="0"/>
    <x v="4"/>
    <n v="27"/>
    <n v="523"/>
    <n v="17"/>
    <n v="28.696996824143099"/>
    <s v="Fail"/>
    <n v="3.6937377878392699"/>
    <x v="3"/>
    <s v="Route B"/>
    <n v="879.35921773492396"/>
  </r>
  <r>
    <x v="2"/>
    <x v="88"/>
    <x v="88"/>
    <n v="58"/>
    <n v="737"/>
    <n v="9444.7420330629793"/>
    <x v="3"/>
    <n v="60"/>
    <n v="18"/>
    <n v="85"/>
    <n v="7"/>
    <x v="1"/>
    <n v="3.8012531329310701"/>
    <x v="4"/>
    <x v="0"/>
    <n v="21"/>
    <n v="953"/>
    <n v="11"/>
    <n v="68.1849190570411"/>
    <s v="Pending"/>
    <n v="0.722204401882931"/>
    <x v="3"/>
    <s v="Route A"/>
    <n v="103.916247960704"/>
  </r>
  <r>
    <x v="2"/>
    <x v="89"/>
    <x v="89"/>
    <n v="10"/>
    <n v="134"/>
    <n v="5924.6825668532301"/>
    <x v="2"/>
    <n v="90"/>
    <n v="1"/>
    <n v="27"/>
    <n v="8"/>
    <x v="0"/>
    <n v="9.9298162452772498"/>
    <x v="1"/>
    <x v="1"/>
    <n v="23"/>
    <n v="370"/>
    <n v="11"/>
    <n v="46.603873381644398"/>
    <s v="Pending"/>
    <n v="1.9076657339590699"/>
    <x v="2"/>
    <s v="Route B"/>
    <n v="517.49997392906005"/>
  </r>
  <r>
    <x v="1"/>
    <x v="90"/>
    <x v="90"/>
    <n v="56"/>
    <n v="320"/>
    <n v="9592.6335702803099"/>
    <x v="0"/>
    <n v="66"/>
    <n v="18"/>
    <n v="96"/>
    <n v="7"/>
    <x v="0"/>
    <n v="7.6744307081126903"/>
    <x v="0"/>
    <x v="3"/>
    <n v="8"/>
    <n v="585"/>
    <n v="8"/>
    <n v="85.675963335797903"/>
    <s v="Pass"/>
    <n v="1.2193822244013801"/>
    <x v="2"/>
    <s v="Route B"/>
    <n v="990.07847250581096"/>
  </r>
  <r>
    <x v="2"/>
    <x v="91"/>
    <x v="91"/>
    <n v="90"/>
    <n v="916"/>
    <n v="1935.20679350759"/>
    <x v="3"/>
    <n v="98"/>
    <n v="22"/>
    <n v="85"/>
    <n v="7"/>
    <x v="0"/>
    <n v="7.4715140844011403"/>
    <x v="3"/>
    <x v="2"/>
    <n v="5"/>
    <n v="207"/>
    <n v="28"/>
    <n v="39.772882502339897"/>
    <s v="Pending"/>
    <n v="0.62600185820939402"/>
    <x v="2"/>
    <s v="Route B"/>
    <n v="996.77831495062298"/>
  </r>
  <r>
    <x v="2"/>
    <x v="92"/>
    <x v="92"/>
    <n v="44"/>
    <n v="276"/>
    <n v="2100.1297546259302"/>
    <x v="3"/>
    <n v="90"/>
    <n v="25"/>
    <n v="10"/>
    <n v="8"/>
    <x v="0"/>
    <n v="4.4695000261236002"/>
    <x v="4"/>
    <x v="0"/>
    <n v="4"/>
    <n v="671"/>
    <n v="29"/>
    <n v="62.612690395614301"/>
    <s v="Pass"/>
    <n v="0.33343182522473902"/>
    <x v="2"/>
    <s v="Route B"/>
    <n v="230.092782536762"/>
  </r>
  <r>
    <x v="0"/>
    <x v="93"/>
    <x v="93"/>
    <n v="88"/>
    <n v="114"/>
    <n v="4531.4021336919004"/>
    <x v="2"/>
    <n v="63"/>
    <n v="17"/>
    <n v="66"/>
    <n v="1"/>
    <x v="2"/>
    <n v="7.00643205900439"/>
    <x v="3"/>
    <x v="4"/>
    <n v="21"/>
    <n v="824"/>
    <n v="20"/>
    <n v="35.633652343343797"/>
    <s v="Fail"/>
    <n v="4.1657817954241398"/>
    <x v="1"/>
    <s v="Route A"/>
    <n v="823.52384588815505"/>
  </r>
  <r>
    <x v="2"/>
    <x v="94"/>
    <x v="94"/>
    <n v="97"/>
    <n v="987"/>
    <n v="7888.3565466618702"/>
    <x v="2"/>
    <n v="77"/>
    <n v="26"/>
    <n v="72"/>
    <n v="9"/>
    <x v="0"/>
    <n v="6.9429459420325799"/>
    <x v="4"/>
    <x v="2"/>
    <n v="12"/>
    <n v="908"/>
    <n v="14"/>
    <n v="60.387378614862101"/>
    <s v="Pass"/>
    <n v="1.4636074984727701"/>
    <x v="2"/>
    <s v="Route B"/>
    <n v="846.66525698669398"/>
  </r>
  <r>
    <x v="0"/>
    <x v="95"/>
    <x v="95"/>
    <n v="65"/>
    <n v="672"/>
    <n v="7386.3639440486604"/>
    <x v="2"/>
    <n v="15"/>
    <n v="14"/>
    <n v="26"/>
    <n v="9"/>
    <x v="0"/>
    <n v="8.6303388696027508"/>
    <x v="3"/>
    <x v="0"/>
    <n v="18"/>
    <n v="450"/>
    <n v="26"/>
    <n v="58.890685768589897"/>
    <s v="Pending"/>
    <n v="1.21088212958506"/>
    <x v="1"/>
    <s v="Route A"/>
    <n v="778.86424137664699"/>
  </r>
  <r>
    <x v="2"/>
    <x v="96"/>
    <x v="96"/>
    <n v="29"/>
    <n v="324"/>
    <n v="7698.4247656321104"/>
    <x v="0"/>
    <n v="67"/>
    <n v="2"/>
    <n v="32"/>
    <n v="3"/>
    <x v="2"/>
    <n v="5.3528780439967996"/>
    <x v="0"/>
    <x v="0"/>
    <n v="28"/>
    <n v="648"/>
    <n v="28"/>
    <n v="17.803756331391199"/>
    <s v="Pending"/>
    <n v="3.8720476814821301"/>
    <x v="0"/>
    <s v="Route A"/>
    <n v="188.74214114905601"/>
  </r>
  <r>
    <x v="0"/>
    <x v="97"/>
    <x v="97"/>
    <n v="56"/>
    <n v="62"/>
    <n v="4370.9165799845296"/>
    <x v="3"/>
    <n v="46"/>
    <n v="19"/>
    <n v="4"/>
    <n v="9"/>
    <x v="1"/>
    <n v="7.9048456112096703"/>
    <x v="3"/>
    <x v="0"/>
    <n v="10"/>
    <n v="535"/>
    <n v="13"/>
    <n v="65.765155926367399"/>
    <s v="Fail"/>
    <n v="3.3762378347179798"/>
    <x v="0"/>
    <s v="Route A"/>
    <n v="540.13242286796697"/>
  </r>
  <r>
    <x v="1"/>
    <x v="98"/>
    <x v="98"/>
    <n v="43"/>
    <n v="913"/>
    <n v="8525.9525596835192"/>
    <x v="1"/>
    <n v="53"/>
    <n v="1"/>
    <n v="27"/>
    <n v="7"/>
    <x v="0"/>
    <n v="1.4098010951380699"/>
    <x v="2"/>
    <x v="4"/>
    <n v="28"/>
    <n v="581"/>
    <n v="9"/>
    <n v="5.6046908643717801"/>
    <s v="Pending"/>
    <n v="2.9081221693512598"/>
    <x v="2"/>
    <s v="Route A"/>
    <n v="882.19886354704101"/>
  </r>
  <r>
    <x v="0"/>
    <x v="99"/>
    <x v="99"/>
    <n v="17"/>
    <n v="627"/>
    <n v="9185.1858291817007"/>
    <x v="2"/>
    <n v="55"/>
    <n v="8"/>
    <n v="59"/>
    <n v="6"/>
    <x v="0"/>
    <n v="1.3110237561206199"/>
    <x v="4"/>
    <x v="4"/>
    <n v="29"/>
    <n v="921"/>
    <n v="2"/>
    <n v="38.072898520625998"/>
    <s v="Fail"/>
    <n v="0.34602729070550298"/>
    <x v="2"/>
    <s v="Route B"/>
    <n v="210.74300896424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n v="802"/>
    <n v="8661.9967923923796"/>
    <x v="0"/>
    <n v="58"/>
    <n v="7"/>
    <n v="96"/>
    <n v="4"/>
    <x v="0"/>
    <n v="2.9565721394308002"/>
    <s v="Supplier 3"/>
    <s v="Mumbai"/>
    <n v="29"/>
    <n v="215"/>
    <x v="0"/>
    <n v="46.279879240508301"/>
    <x v="0"/>
    <n v="0.226410360849925"/>
    <x v="0"/>
    <x v="0"/>
    <n v="187.75207545920301"/>
  </r>
  <r>
    <x v="1"/>
    <s v="SKU1"/>
    <n v="14.8435232750843"/>
    <n v="95"/>
    <n v="736"/>
    <n v="7460.9000654458396"/>
    <x v="1"/>
    <n v="53"/>
    <n v="30"/>
    <n v="37"/>
    <n v="2"/>
    <x v="1"/>
    <n v="9.7165747714313095"/>
    <s v="Supplier 3"/>
    <s v="Mumbai"/>
    <n v="23"/>
    <n v="517"/>
    <x v="1"/>
    <n v="33.616768953730002"/>
    <x v="0"/>
    <n v="4.8540680263886999"/>
    <x v="0"/>
    <x v="0"/>
    <n v="503.06557914966902"/>
  </r>
  <r>
    <x v="0"/>
    <s v="SKU2"/>
    <n v="11.319683293090501"/>
    <n v="34"/>
    <n v="8"/>
    <n v="9577.7496258687297"/>
    <x v="2"/>
    <n v="1"/>
    <n v="10"/>
    <n v="88"/>
    <n v="2"/>
    <x v="0"/>
    <n v="8.0544792617321495"/>
    <s v="Supplier 1"/>
    <s v="Mumbai"/>
    <n v="12"/>
    <n v="971"/>
    <x v="2"/>
    <n v="30.6880193482842"/>
    <x v="0"/>
    <n v="4.5805926191992201"/>
    <x v="1"/>
    <x v="1"/>
    <n v="141.920281771519"/>
  </r>
  <r>
    <x v="1"/>
    <s v="SKU3"/>
    <n v="61.1633430164377"/>
    <n v="68"/>
    <n v="83"/>
    <n v="7766.8364256852301"/>
    <x v="0"/>
    <n v="23"/>
    <n v="13"/>
    <n v="59"/>
    <n v="6"/>
    <x v="2"/>
    <n v="1.7295685635434199"/>
    <s v="Supplier 5"/>
    <s v="Kolkata"/>
    <n v="24"/>
    <n v="937"/>
    <x v="3"/>
    <n v="35.624741397125"/>
    <x v="1"/>
    <n v="4.7466486206477496"/>
    <x v="2"/>
    <x v="2"/>
    <n v="254.776159219286"/>
  </r>
  <r>
    <x v="1"/>
    <s v="SKU4"/>
    <n v="4.8054960363458896"/>
    <n v="26"/>
    <n v="871"/>
    <n v="2686.50515156744"/>
    <x v="0"/>
    <n v="5"/>
    <n v="3"/>
    <n v="56"/>
    <n v="8"/>
    <x v="1"/>
    <n v="3.8905479158706702"/>
    <s v="Supplier 1"/>
    <s v="Delhi"/>
    <n v="5"/>
    <n v="414"/>
    <x v="4"/>
    <n v="92.065160598712794"/>
    <x v="1"/>
    <n v="3.1455795228330001"/>
    <x v="1"/>
    <x v="2"/>
    <n v="923.44063171192204"/>
  </r>
  <r>
    <x v="0"/>
    <s v="SKU5"/>
    <n v="1.6999760138659299"/>
    <n v="87"/>
    <n v="147"/>
    <n v="2828.3487459757498"/>
    <x v="0"/>
    <n v="90"/>
    <n v="27"/>
    <n v="66"/>
    <n v="3"/>
    <x v="0"/>
    <n v="4.4440988643822896"/>
    <s v="Supplier 4"/>
    <s v="Bangalore"/>
    <n v="10"/>
    <n v="104"/>
    <x v="5"/>
    <n v="56.766475557431797"/>
    <x v="1"/>
    <n v="2.7791935115711599"/>
    <x v="0"/>
    <x v="2"/>
    <n v="235.461236735537"/>
  </r>
  <r>
    <x v="1"/>
    <s v="SKU6"/>
    <n v="4.0783328631079403"/>
    <n v="48"/>
    <n v="65"/>
    <n v="7823.4765595317303"/>
    <x v="3"/>
    <n v="11"/>
    <n v="15"/>
    <n v="58"/>
    <n v="8"/>
    <x v="2"/>
    <n v="3.8807633029519999"/>
    <s v="Supplier 3"/>
    <s v="Kolkata"/>
    <n v="14"/>
    <n v="314"/>
    <x v="6"/>
    <n v="1.0850685695870601"/>
    <x v="0"/>
    <n v="1.0009106193041299"/>
    <x v="3"/>
    <x v="2"/>
    <n v="134.36909686103101"/>
  </r>
  <r>
    <x v="2"/>
    <s v="SKU7"/>
    <n v="42.958384382459997"/>
    <n v="59"/>
    <n v="426"/>
    <n v="8496.1038130898305"/>
    <x v="1"/>
    <n v="93"/>
    <n v="17"/>
    <n v="11"/>
    <n v="1"/>
    <x v="0"/>
    <n v="2.3483387844177801"/>
    <s v="Supplier 4"/>
    <s v="Bangalore"/>
    <n v="22"/>
    <n v="564"/>
    <x v="7"/>
    <n v="99.466108603599096"/>
    <x v="1"/>
    <n v="0.39817718685065001"/>
    <x v="0"/>
    <x v="1"/>
    <n v="802.05631181755803"/>
  </r>
  <r>
    <x v="2"/>
    <s v="SKU8"/>
    <n v="68.717596748527299"/>
    <n v="78"/>
    <n v="150"/>
    <n v="7517.3632106311197"/>
    <x v="1"/>
    <n v="5"/>
    <n v="10"/>
    <n v="15"/>
    <n v="7"/>
    <x v="2"/>
    <n v="3.4047338570830199"/>
    <s v="Supplier 4"/>
    <s v="Mumbai"/>
    <n v="13"/>
    <n v="769"/>
    <x v="8"/>
    <n v="11.423027139565599"/>
    <x v="0"/>
    <n v="2.7098626911099601"/>
    <x v="3"/>
    <x v="0"/>
    <n v="505.55713422546398"/>
  </r>
  <r>
    <x v="1"/>
    <s v="SKU9"/>
    <n v="64.0157329412785"/>
    <n v="35"/>
    <n v="980"/>
    <n v="4971.1459875855498"/>
    <x v="2"/>
    <n v="14"/>
    <n v="27"/>
    <n v="83"/>
    <n v="1"/>
    <x v="1"/>
    <n v="7.1666452910482104"/>
    <s v="Supplier 2"/>
    <s v="Chennai"/>
    <n v="29"/>
    <n v="963"/>
    <x v="9"/>
    <n v="47.957601634951502"/>
    <x v="0"/>
    <n v="3.8446144787675798"/>
    <x v="2"/>
    <x v="0"/>
    <n v="995.92946149864099"/>
  </r>
  <r>
    <x v="1"/>
    <s v="SKU10"/>
    <n v="15.707795681912099"/>
    <n v="11"/>
    <n v="996"/>
    <n v="2330.9658020919401"/>
    <x v="0"/>
    <n v="51"/>
    <n v="13"/>
    <n v="80"/>
    <n v="2"/>
    <x v="2"/>
    <n v="8.6732112112786108"/>
    <s v="Supplier 5"/>
    <s v="Kolkata"/>
    <n v="18"/>
    <n v="830"/>
    <x v="10"/>
    <n v="96.527352785310896"/>
    <x v="2"/>
    <n v="1.72731392835594"/>
    <x v="0"/>
    <x v="0"/>
    <n v="806.10317770292295"/>
  </r>
  <r>
    <x v="1"/>
    <s v="SKU11"/>
    <n v="90.635459982288594"/>
    <n v="95"/>
    <n v="960"/>
    <n v="6099.9441155814502"/>
    <x v="1"/>
    <n v="46"/>
    <n v="23"/>
    <n v="60"/>
    <n v="1"/>
    <x v="1"/>
    <n v="4.5239431243166601"/>
    <s v="Supplier 2"/>
    <s v="Kolkata"/>
    <n v="28"/>
    <n v="362"/>
    <x v="11"/>
    <n v="27.5923630866636"/>
    <x v="0"/>
    <n v="2.1169821372994301E-2"/>
    <x v="1"/>
    <x v="2"/>
    <n v="126.72303340940699"/>
  </r>
  <r>
    <x v="0"/>
    <s v="SKU12"/>
    <n v="71.213389075359999"/>
    <n v="41"/>
    <n v="336"/>
    <n v="2873.74144602144"/>
    <x v="2"/>
    <n v="100"/>
    <n v="30"/>
    <n v="85"/>
    <n v="4"/>
    <x v="1"/>
    <n v="1.32527401018452"/>
    <s v="Supplier 4"/>
    <s v="Kolkata"/>
    <n v="3"/>
    <n v="563"/>
    <x v="4"/>
    <n v="32.321286213424003"/>
    <x v="1"/>
    <n v="2.1612537475559099"/>
    <x v="0"/>
    <x v="0"/>
    <n v="402.96878907376998"/>
  </r>
  <r>
    <x v="1"/>
    <s v="SKU13"/>
    <n v="16.160393317379899"/>
    <n v="5"/>
    <n v="249"/>
    <n v="4052.7384162378598"/>
    <x v="3"/>
    <n v="80"/>
    <n v="8"/>
    <n v="48"/>
    <n v="9"/>
    <x v="1"/>
    <n v="9.5372830611083295"/>
    <s v="Supplier 5"/>
    <s v="Bangalore"/>
    <n v="23"/>
    <n v="173"/>
    <x v="12"/>
    <n v="97.829050110173199"/>
    <x v="0"/>
    <n v="1.63107423007153"/>
    <x v="0"/>
    <x v="0"/>
    <n v="547.24100516096803"/>
  </r>
  <r>
    <x v="1"/>
    <s v="SKU14"/>
    <n v="99.171328638624104"/>
    <n v="26"/>
    <n v="562"/>
    <n v="8653.5709264697998"/>
    <x v="0"/>
    <n v="54"/>
    <n v="29"/>
    <n v="78"/>
    <n v="5"/>
    <x v="0"/>
    <n v="2.0397701894493299"/>
    <s v="Supplier 1"/>
    <s v="Kolkata"/>
    <n v="25"/>
    <n v="558"/>
    <x v="13"/>
    <n v="5.7914366298629796"/>
    <x v="0"/>
    <n v="0.100682851565093"/>
    <x v="1"/>
    <x v="0"/>
    <n v="929.23528996088896"/>
  </r>
  <r>
    <x v="1"/>
    <s v="SKU15"/>
    <n v="36.989244928626903"/>
    <n v="94"/>
    <n v="469"/>
    <n v="5442.0867853976697"/>
    <x v="0"/>
    <n v="9"/>
    <n v="8"/>
    <n v="69"/>
    <n v="7"/>
    <x v="0"/>
    <n v="2.4220397232752"/>
    <s v="Supplier 1"/>
    <s v="Bangalore"/>
    <n v="14"/>
    <n v="580"/>
    <x v="14"/>
    <n v="97.121281751474299"/>
    <x v="2"/>
    <n v="2.2644057611985402"/>
    <x v="3"/>
    <x v="0"/>
    <n v="127.861800001625"/>
  </r>
  <r>
    <x v="1"/>
    <s v="SKU16"/>
    <n v="7.5471721097912701"/>
    <n v="74"/>
    <n v="280"/>
    <n v="6453.7979681762799"/>
    <x v="1"/>
    <n v="2"/>
    <n v="5"/>
    <n v="78"/>
    <n v="1"/>
    <x v="0"/>
    <n v="4.1913245857054999"/>
    <s v="Supplier 1"/>
    <s v="Bangalore"/>
    <n v="3"/>
    <n v="399"/>
    <x v="15"/>
    <n v="77.106342497849994"/>
    <x v="2"/>
    <n v="1.01256308925804"/>
    <x v="1"/>
    <x v="2"/>
    <n v="865.52577977123997"/>
  </r>
  <r>
    <x v="2"/>
    <s v="SKU17"/>
    <n v="81.462534369237005"/>
    <n v="82"/>
    <n v="126"/>
    <n v="2629.39643484526"/>
    <x v="1"/>
    <n v="45"/>
    <n v="17"/>
    <n v="85"/>
    <n v="9"/>
    <x v="2"/>
    <n v="3.5854189582323399"/>
    <s v="Supplier 1"/>
    <s v="Chennai"/>
    <n v="7"/>
    <n v="453"/>
    <x v="16"/>
    <n v="47.679680368355299"/>
    <x v="1"/>
    <n v="0.102020754918176"/>
    <x v="1"/>
    <x v="1"/>
    <n v="670.93439079241"/>
  </r>
  <r>
    <x v="0"/>
    <s v="SKU18"/>
    <n v="36.4436277704609"/>
    <n v="23"/>
    <n v="620"/>
    <n v="9364.6735050761708"/>
    <x v="2"/>
    <n v="10"/>
    <n v="10"/>
    <n v="46"/>
    <n v="8"/>
    <x v="2"/>
    <n v="4.3392247141107001"/>
    <s v="Supplier 2"/>
    <s v="Kolkata"/>
    <n v="18"/>
    <n v="374"/>
    <x v="5"/>
    <n v="27.107980854843898"/>
    <x v="0"/>
    <n v="2.2319391107292601"/>
    <x v="3"/>
    <x v="2"/>
    <n v="593.48025872065102"/>
  </r>
  <r>
    <x v="1"/>
    <s v="SKU19"/>
    <n v="51.123870087964697"/>
    <n v="100"/>
    <n v="187"/>
    <n v="2553.4955849912099"/>
    <x v="2"/>
    <n v="48"/>
    <n v="11"/>
    <n v="94"/>
    <n v="3"/>
    <x v="1"/>
    <n v="4.7426358828418698"/>
    <s v="Supplier 4"/>
    <s v="Chennai"/>
    <n v="20"/>
    <n v="694"/>
    <x v="16"/>
    <n v="82.373320587990193"/>
    <x v="1"/>
    <n v="3.64645086541702"/>
    <x v="0"/>
    <x v="1"/>
    <n v="477.30763109090299"/>
  </r>
  <r>
    <x v="1"/>
    <s v="SKU20"/>
    <n v="96.341072439963298"/>
    <n v="22"/>
    <n v="320"/>
    <n v="8128.0276968511898"/>
    <x v="2"/>
    <n v="27"/>
    <n v="12"/>
    <n v="68"/>
    <n v="6"/>
    <x v="1"/>
    <n v="8.8783346509268402"/>
    <s v="Supplier 1"/>
    <s v="Chennai"/>
    <n v="29"/>
    <n v="309"/>
    <x v="17"/>
    <n v="65.686259608488598"/>
    <x v="2"/>
    <n v="4.2314165735345304"/>
    <x v="1"/>
    <x v="0"/>
    <n v="493.871215316205"/>
  </r>
  <r>
    <x v="2"/>
    <s v="SKU21"/>
    <n v="84.893868984950799"/>
    <n v="60"/>
    <n v="601"/>
    <n v="7087.0526963574302"/>
    <x v="2"/>
    <n v="69"/>
    <n v="25"/>
    <n v="7"/>
    <n v="6"/>
    <x v="0"/>
    <n v="6.0378837692182898"/>
    <s v="Supplier 5"/>
    <s v="Chennai"/>
    <n v="19"/>
    <n v="791"/>
    <x v="18"/>
    <n v="61.735728954160898"/>
    <x v="0"/>
    <n v="1.8607567631014899E-2"/>
    <x v="1"/>
    <x v="1"/>
    <n v="523.36091472015801"/>
  </r>
  <r>
    <x v="0"/>
    <s v="SKU22"/>
    <n v="27.679780886501899"/>
    <n v="55"/>
    <n v="884"/>
    <n v="2390.8078665561702"/>
    <x v="2"/>
    <n v="71"/>
    <n v="1"/>
    <n v="63"/>
    <n v="10"/>
    <x v="1"/>
    <n v="9.5676489209230393"/>
    <s v="Supplier 4"/>
    <s v="Kolkata"/>
    <n v="22"/>
    <n v="780"/>
    <x v="19"/>
    <n v="50.120839612977299"/>
    <x v="1"/>
    <n v="2.5912754732111098"/>
    <x v="2"/>
    <x v="1"/>
    <n v="205.57199582694699"/>
  </r>
  <r>
    <x v="2"/>
    <s v="SKU23"/>
    <n v="4.3243411858641601"/>
    <n v="30"/>
    <n v="391"/>
    <n v="8858.3675710114803"/>
    <x v="2"/>
    <n v="84"/>
    <n v="5"/>
    <n v="29"/>
    <n v="7"/>
    <x v="1"/>
    <n v="2.92485760114555"/>
    <s v="Supplier 5"/>
    <s v="Kolkata"/>
    <n v="11"/>
    <n v="568"/>
    <x v="0"/>
    <n v="98.6099572427038"/>
    <x v="0"/>
    <n v="1.3422915627227301"/>
    <x v="2"/>
    <x v="2"/>
    <n v="196.329446112412"/>
  </r>
  <r>
    <x v="0"/>
    <s v="SKU24"/>
    <n v="4.1563083593111001"/>
    <n v="32"/>
    <n v="209"/>
    <n v="9049.0778609398894"/>
    <x v="3"/>
    <n v="4"/>
    <n v="26"/>
    <n v="2"/>
    <n v="8"/>
    <x v="2"/>
    <n v="9.7412916892843597"/>
    <s v="Supplier 2"/>
    <s v="Bangalore"/>
    <n v="28"/>
    <n v="447"/>
    <x v="4"/>
    <n v="40.382359702924802"/>
    <x v="0"/>
    <n v="3.69131029262872"/>
    <x v="1"/>
    <x v="2"/>
    <n v="758.72477260293795"/>
  </r>
  <r>
    <x v="0"/>
    <s v="SKU25"/>
    <n v="39.629343985092603"/>
    <n v="73"/>
    <n v="142"/>
    <n v="2174.7770543506499"/>
    <x v="3"/>
    <n v="82"/>
    <n v="11"/>
    <n v="52"/>
    <n v="3"/>
    <x v="2"/>
    <n v="2.2310736812817198"/>
    <s v="Supplier 4"/>
    <s v="Kolkata"/>
    <n v="19"/>
    <n v="934"/>
    <x v="9"/>
    <n v="78.280383118415301"/>
    <x v="0"/>
    <n v="3.79723121711418"/>
    <x v="0"/>
    <x v="0"/>
    <n v="458.53594573920901"/>
  </r>
  <r>
    <x v="0"/>
    <s v="SKU26"/>
    <n v="97.446946617892806"/>
    <n v="9"/>
    <n v="353"/>
    <n v="3716.49332589403"/>
    <x v="3"/>
    <n v="59"/>
    <n v="16"/>
    <n v="48"/>
    <n v="4"/>
    <x v="0"/>
    <n v="6.5075486210785503"/>
    <s v="Supplier 2"/>
    <s v="Bangalore"/>
    <n v="26"/>
    <n v="171"/>
    <x v="18"/>
    <n v="15.972229757181699"/>
    <x v="2"/>
    <n v="2.1193197367249201"/>
    <x v="2"/>
    <x v="2"/>
    <n v="617.86691645837698"/>
  </r>
  <r>
    <x v="2"/>
    <s v="SKU27"/>
    <n v="92.557360812401996"/>
    <n v="42"/>
    <n v="352"/>
    <n v="2686.4572235759802"/>
    <x v="2"/>
    <n v="47"/>
    <n v="9"/>
    <n v="62"/>
    <n v="8"/>
    <x v="2"/>
    <n v="7.4067509529980704"/>
    <s v="Supplier 5"/>
    <s v="Mumbai"/>
    <n v="25"/>
    <n v="291"/>
    <x v="18"/>
    <n v="10.5282450700421"/>
    <x v="1"/>
    <n v="2.8646678378833701"/>
    <x v="3"/>
    <x v="0"/>
    <n v="762.45918215568304"/>
  </r>
  <r>
    <x v="2"/>
    <s v="SKU28"/>
    <n v="2.3972747055971402"/>
    <n v="12"/>
    <n v="394"/>
    <n v="6117.3246150839896"/>
    <x v="1"/>
    <n v="48"/>
    <n v="15"/>
    <n v="24"/>
    <n v="4"/>
    <x v="0"/>
    <n v="9.8981405080692202"/>
    <s v="Supplier 1"/>
    <s v="Mumbai"/>
    <n v="13"/>
    <n v="171"/>
    <x v="14"/>
    <n v="59.429381810691503"/>
    <x v="1"/>
    <n v="0.81575707929567198"/>
    <x v="1"/>
    <x v="2"/>
    <n v="123.437027511827"/>
  </r>
  <r>
    <x v="2"/>
    <s v="SKU29"/>
    <n v="63.447559185207297"/>
    <n v="3"/>
    <n v="253"/>
    <n v="8318.9031946171708"/>
    <x v="1"/>
    <n v="45"/>
    <n v="5"/>
    <n v="67"/>
    <n v="7"/>
    <x v="0"/>
    <n v="8.1009731453970293"/>
    <s v="Supplier 1"/>
    <s v="Kolkata"/>
    <n v="16"/>
    <n v="329"/>
    <x v="14"/>
    <n v="39.292875586065698"/>
    <x v="2"/>
    <n v="3.8780989365884802"/>
    <x v="0"/>
    <x v="0"/>
    <n v="764.93537594070801"/>
  </r>
  <r>
    <x v="0"/>
    <s v="SKU30"/>
    <n v="8.0228592105263896"/>
    <n v="10"/>
    <n v="327"/>
    <n v="2766.3423668660798"/>
    <x v="3"/>
    <n v="60"/>
    <n v="26"/>
    <n v="35"/>
    <n v="7"/>
    <x v="0"/>
    <n v="8.9545283153180097"/>
    <s v="Supplier 4"/>
    <s v="Kolkata"/>
    <n v="27"/>
    <n v="806"/>
    <x v="1"/>
    <n v="51.634893400109299"/>
    <x v="0"/>
    <n v="0.96539470535239302"/>
    <x v="0"/>
    <x v="1"/>
    <n v="880.08098824716103"/>
  </r>
  <r>
    <x v="1"/>
    <s v="SKU31"/>
    <n v="50.847393051718697"/>
    <n v="28"/>
    <n v="168"/>
    <n v="9655.1351027193905"/>
    <x v="3"/>
    <n v="6"/>
    <n v="17"/>
    <n v="44"/>
    <n v="4"/>
    <x v="0"/>
    <n v="2.6796609649813998"/>
    <s v="Supplier 3"/>
    <s v="Chennai"/>
    <n v="24"/>
    <n v="461"/>
    <x v="8"/>
    <n v="60.251145661598002"/>
    <x v="0"/>
    <n v="2.9890000066550702"/>
    <x v="2"/>
    <x v="1"/>
    <n v="609.379206618426"/>
  </r>
  <r>
    <x v="1"/>
    <s v="SKU32"/>
    <n v="79.209936015656695"/>
    <n v="43"/>
    <n v="781"/>
    <n v="9571.5504873278096"/>
    <x v="2"/>
    <n v="89"/>
    <n v="13"/>
    <n v="64"/>
    <n v="4"/>
    <x v="2"/>
    <n v="6.5991049012385803"/>
    <s v="Supplier 3"/>
    <s v="Kolkata"/>
    <n v="30"/>
    <n v="737"/>
    <x v="14"/>
    <n v="29.6924671537497"/>
    <x v="2"/>
    <n v="1.94603611938611"/>
    <x v="0"/>
    <x v="2"/>
    <n v="761.17390951487698"/>
  </r>
  <r>
    <x v="2"/>
    <s v="SKU33"/>
    <n v="64.795435000155607"/>
    <n v="63"/>
    <n v="616"/>
    <n v="5149.9983504080301"/>
    <x v="0"/>
    <n v="4"/>
    <n v="17"/>
    <n v="95"/>
    <n v="9"/>
    <x v="2"/>
    <n v="4.85827050343664"/>
    <s v="Supplier 5"/>
    <s v="Chennai"/>
    <n v="1"/>
    <n v="251"/>
    <x v="9"/>
    <n v="23.853427512896101"/>
    <x v="1"/>
    <n v="3.54104601225092"/>
    <x v="3"/>
    <x v="2"/>
    <n v="371.25529551987103"/>
  </r>
  <r>
    <x v="1"/>
    <s v="SKU34"/>
    <n v="37.467592329842397"/>
    <n v="96"/>
    <n v="602"/>
    <n v="9061.7108955077201"/>
    <x v="2"/>
    <n v="1"/>
    <n v="26"/>
    <n v="21"/>
    <n v="7"/>
    <x v="1"/>
    <n v="1.0194875708221101"/>
    <s v="Supplier 1"/>
    <s v="Chennai"/>
    <n v="4"/>
    <n v="452"/>
    <x v="12"/>
    <n v="10.754272815029299"/>
    <x v="2"/>
    <n v="0.64660455937205397"/>
    <x v="0"/>
    <x v="0"/>
    <n v="510.35800043352299"/>
  </r>
  <r>
    <x v="2"/>
    <s v="SKU35"/>
    <n v="84.957786816350406"/>
    <n v="11"/>
    <n v="449"/>
    <n v="6541.3293448024597"/>
    <x v="1"/>
    <n v="42"/>
    <n v="27"/>
    <n v="85"/>
    <n v="8"/>
    <x v="2"/>
    <n v="5.2881899903273997"/>
    <s v="Supplier 1"/>
    <s v="Delhi"/>
    <n v="3"/>
    <n v="367"/>
    <x v="20"/>
    <n v="58.004787044743701"/>
    <x v="2"/>
    <n v="0.54115409806058101"/>
    <x v="3"/>
    <x v="1"/>
    <n v="553.42047123035502"/>
  </r>
  <r>
    <x v="1"/>
    <s v="SKU36"/>
    <n v="9.81300257875405"/>
    <n v="34"/>
    <n v="963"/>
    <n v="7573.4024578487297"/>
    <x v="1"/>
    <n v="18"/>
    <n v="23"/>
    <n v="28"/>
    <n v="3"/>
    <x v="0"/>
    <n v="2.1079512671590801"/>
    <s v="Supplier 2"/>
    <s v="Delhi"/>
    <n v="26"/>
    <n v="671"/>
    <x v="21"/>
    <n v="45.531364237162101"/>
    <x v="1"/>
    <n v="3.8055333792433501"/>
    <x v="1"/>
    <x v="1"/>
    <n v="403.80897424817999"/>
  </r>
  <r>
    <x v="1"/>
    <s v="SKU37"/>
    <n v="23.3998447526143"/>
    <n v="5"/>
    <n v="963"/>
    <n v="2438.3399304700201"/>
    <x v="1"/>
    <n v="25"/>
    <n v="8"/>
    <n v="21"/>
    <n v="9"/>
    <x v="1"/>
    <n v="1.53265527359043"/>
    <s v="Supplier 3"/>
    <s v="Kolkata"/>
    <n v="24"/>
    <n v="867"/>
    <x v="22"/>
    <n v="34.343277465075303"/>
    <x v="0"/>
    <n v="2.61028808484811"/>
    <x v="3"/>
    <x v="2"/>
    <n v="183.932968043594"/>
  </r>
  <r>
    <x v="2"/>
    <s v="SKU38"/>
    <n v="52.075930682707799"/>
    <n v="75"/>
    <n v="705"/>
    <n v="9692.3180402184298"/>
    <x v="0"/>
    <n v="69"/>
    <n v="1"/>
    <n v="88"/>
    <n v="5"/>
    <x v="0"/>
    <n v="9.2359314372492207"/>
    <s v="Supplier 5"/>
    <s v="Mumbai"/>
    <n v="10"/>
    <n v="841"/>
    <x v="23"/>
    <n v="5.9306936455283097"/>
    <x v="0"/>
    <n v="0.613326899164507"/>
    <x v="1"/>
    <x v="0"/>
    <n v="339.67286994860598"/>
  </r>
  <r>
    <x v="1"/>
    <s v="SKU39"/>
    <n v="19.127477265823199"/>
    <n v="26"/>
    <n v="176"/>
    <n v="1912.4656631007599"/>
    <x v="1"/>
    <n v="78"/>
    <n v="29"/>
    <n v="34"/>
    <n v="3"/>
    <x v="1"/>
    <n v="5.5625037788303802"/>
    <s v="Supplier 2"/>
    <s v="Kolkata"/>
    <n v="30"/>
    <n v="791"/>
    <x v="17"/>
    <n v="9.0058074287816403"/>
    <x v="1"/>
    <n v="1.4519722039968099"/>
    <x v="1"/>
    <x v="0"/>
    <n v="653.67299455203295"/>
  </r>
  <r>
    <x v="1"/>
    <s v="SKU40"/>
    <n v="80.541424170940303"/>
    <n v="97"/>
    <n v="933"/>
    <n v="5724.9593504562599"/>
    <x v="1"/>
    <n v="90"/>
    <n v="20"/>
    <n v="39"/>
    <n v="8"/>
    <x v="2"/>
    <n v="7.2295951397364702"/>
    <s v="Supplier 1"/>
    <s v="Kolkata"/>
    <n v="18"/>
    <n v="793"/>
    <x v="7"/>
    <n v="88.179407104217404"/>
    <x v="0"/>
    <n v="4.2132694305865597"/>
    <x v="0"/>
    <x v="2"/>
    <n v="529.80872398069096"/>
  </r>
  <r>
    <x v="1"/>
    <s v="SKU41"/>
    <n v="99.113291615317095"/>
    <n v="35"/>
    <n v="556"/>
    <n v="5521.2052590109697"/>
    <x v="1"/>
    <n v="64"/>
    <n v="19"/>
    <n v="38"/>
    <n v="8"/>
    <x v="0"/>
    <n v="5.7732637437666501"/>
    <s v="Supplier 4"/>
    <s v="Chennai"/>
    <n v="18"/>
    <n v="892"/>
    <x v="14"/>
    <n v="95.332064548772493"/>
    <x v="1"/>
    <n v="4.5302262398259602E-2"/>
    <x v="3"/>
    <x v="2"/>
    <n v="275.52437113130901"/>
  </r>
  <r>
    <x v="1"/>
    <s v="SKU42"/>
    <n v="46.529167614516702"/>
    <n v="98"/>
    <n v="155"/>
    <n v="1839.60942585676"/>
    <x v="1"/>
    <n v="22"/>
    <n v="27"/>
    <n v="57"/>
    <n v="4"/>
    <x v="2"/>
    <n v="7.5262483268515004"/>
    <s v="Supplier 5"/>
    <s v="Bangalore"/>
    <n v="26"/>
    <n v="179"/>
    <x v="14"/>
    <n v="96.422820639571796"/>
    <x v="1"/>
    <n v="4.9392552886209398"/>
    <x v="0"/>
    <x v="2"/>
    <n v="635.65712050199102"/>
  </r>
  <r>
    <x v="0"/>
    <s v="SKU43"/>
    <n v="11.7432717763092"/>
    <n v="6"/>
    <n v="598"/>
    <n v="5737.4255991190203"/>
    <x v="2"/>
    <n v="36"/>
    <n v="29"/>
    <n v="85"/>
    <n v="9"/>
    <x v="0"/>
    <n v="3.6940212683884499"/>
    <s v="Supplier 5"/>
    <s v="Mumbai"/>
    <n v="1"/>
    <n v="206"/>
    <x v="9"/>
    <n v="26.2773659573324"/>
    <x v="0"/>
    <n v="0.37230476798509698"/>
    <x v="1"/>
    <x v="2"/>
    <n v="716.04411975933999"/>
  </r>
  <r>
    <x v="2"/>
    <s v="SKU44"/>
    <n v="51.355790913110297"/>
    <n v="34"/>
    <n v="919"/>
    <n v="7152.28604943551"/>
    <x v="1"/>
    <n v="13"/>
    <n v="19"/>
    <n v="72"/>
    <n v="6"/>
    <x v="2"/>
    <n v="7.5774496573766896"/>
    <s v="Supplier 2"/>
    <s v="Delhi"/>
    <n v="7"/>
    <n v="834"/>
    <x v="3"/>
    <n v="22.554106620887701"/>
    <x v="1"/>
    <n v="2.9626263204548802"/>
    <x v="2"/>
    <x v="2"/>
    <n v="610.45326961922694"/>
  </r>
  <r>
    <x v="0"/>
    <s v="SKU45"/>
    <n v="33.784138033065503"/>
    <n v="1"/>
    <n v="24"/>
    <n v="5267.9568075105199"/>
    <x v="3"/>
    <n v="93"/>
    <n v="7"/>
    <n v="52"/>
    <n v="6"/>
    <x v="0"/>
    <n v="5.2151550087119096"/>
    <s v="Supplier 2"/>
    <s v="Chennai"/>
    <n v="25"/>
    <n v="794"/>
    <x v="24"/>
    <n v="66.312544439991598"/>
    <x v="2"/>
    <n v="3.2196046120841002"/>
    <x v="2"/>
    <x v="2"/>
    <n v="495.30569702847299"/>
  </r>
  <r>
    <x v="0"/>
    <s v="SKU46"/>
    <n v="27.082207199888899"/>
    <n v="75"/>
    <n v="859"/>
    <n v="2556.7673606335902"/>
    <x v="0"/>
    <n v="92"/>
    <n v="29"/>
    <n v="6"/>
    <n v="8"/>
    <x v="0"/>
    <n v="4.0709558370840799"/>
    <s v="Supplier 3"/>
    <s v="Chennai"/>
    <n v="18"/>
    <n v="870"/>
    <x v="9"/>
    <n v="77.322353211051606"/>
    <x v="0"/>
    <n v="3.6486105925361998"/>
    <x v="0"/>
    <x v="0"/>
    <n v="380.43593711196399"/>
  </r>
  <r>
    <x v="1"/>
    <s v="SKU47"/>
    <n v="95.712135880936003"/>
    <n v="93"/>
    <n v="910"/>
    <n v="7089.4742499341801"/>
    <x v="3"/>
    <n v="4"/>
    <n v="15"/>
    <n v="51"/>
    <n v="9"/>
    <x v="0"/>
    <n v="8.9787507559499709"/>
    <s v="Supplier 1"/>
    <s v="Kolkata"/>
    <n v="10"/>
    <n v="964"/>
    <x v="25"/>
    <n v="19.7129929112936"/>
    <x v="0"/>
    <n v="0.38057358671321301"/>
    <x v="2"/>
    <x v="2"/>
    <n v="581.60235505058597"/>
  </r>
  <r>
    <x v="0"/>
    <s v="SKU48"/>
    <n v="76.035544426891704"/>
    <n v="28"/>
    <n v="29"/>
    <n v="7397.0710045871801"/>
    <x v="0"/>
    <n v="30"/>
    <n v="16"/>
    <n v="9"/>
    <n v="3"/>
    <x v="2"/>
    <n v="7.0958331565551296"/>
    <s v="Supplier 2"/>
    <s v="Mumbai"/>
    <n v="9"/>
    <n v="109"/>
    <x v="3"/>
    <n v="23.126363582464698"/>
    <x v="1"/>
    <n v="1.6981125407144"/>
    <x v="2"/>
    <x v="0"/>
    <n v="768.65191395437"/>
  </r>
  <r>
    <x v="2"/>
    <s v="SKU49"/>
    <n v="78.897913205639995"/>
    <n v="19"/>
    <n v="99"/>
    <n v="8001.6132065190004"/>
    <x v="2"/>
    <n v="97"/>
    <n v="24"/>
    <n v="9"/>
    <n v="6"/>
    <x v="2"/>
    <n v="2.5056210329009101"/>
    <s v="Supplier 5"/>
    <s v="Delhi"/>
    <n v="28"/>
    <n v="177"/>
    <x v="19"/>
    <n v="14.1478154439792"/>
    <x v="2"/>
    <n v="2.8258139854001301"/>
    <x v="2"/>
    <x v="2"/>
    <n v="336.89016851997701"/>
  </r>
  <r>
    <x v="2"/>
    <s v="SKU50"/>
    <n v="14.203484264803"/>
    <n v="91"/>
    <n v="633"/>
    <n v="5910.8853896688897"/>
    <x v="1"/>
    <n v="31"/>
    <n v="23"/>
    <n v="82"/>
    <n v="10"/>
    <x v="1"/>
    <n v="6.2478609149759903"/>
    <s v="Supplier 2"/>
    <s v="Delhi"/>
    <n v="20"/>
    <n v="306"/>
    <x v="15"/>
    <n v="45.178757924634503"/>
    <x v="1"/>
    <n v="4.7548008046711798"/>
    <x v="2"/>
    <x v="0"/>
    <n v="496.24865029194001"/>
  </r>
  <r>
    <x v="0"/>
    <s v="SKU51"/>
    <n v="26.700760972461701"/>
    <n v="61"/>
    <n v="154"/>
    <n v="9866.4654579796897"/>
    <x v="3"/>
    <n v="100"/>
    <n v="4"/>
    <n v="52"/>
    <n v="1"/>
    <x v="1"/>
    <n v="4.78300055794766"/>
    <s v="Supplier 5"/>
    <s v="Bangalore"/>
    <n v="18"/>
    <n v="673"/>
    <x v="19"/>
    <n v="14.190328344569901"/>
    <x v="0"/>
    <n v="1.77295117208355"/>
    <x v="0"/>
    <x v="2"/>
    <n v="694.98231757944495"/>
  </r>
  <r>
    <x v="1"/>
    <s v="SKU52"/>
    <n v="98.031829656465007"/>
    <n v="1"/>
    <n v="820"/>
    <n v="9435.7626089121295"/>
    <x v="3"/>
    <n v="64"/>
    <n v="11"/>
    <n v="11"/>
    <n v="1"/>
    <x v="0"/>
    <n v="8.6310521797689397"/>
    <s v="Supplier 1"/>
    <s v="Mumbai"/>
    <n v="10"/>
    <n v="727"/>
    <x v="2"/>
    <n v="9.1668491485971497"/>
    <x v="0"/>
    <n v="2.1224716191438202"/>
    <x v="1"/>
    <x v="1"/>
    <n v="602.89849883838303"/>
  </r>
  <r>
    <x v="1"/>
    <s v="SKU53"/>
    <n v="30.3414707112142"/>
    <n v="93"/>
    <n v="242"/>
    <n v="8232.3348294258194"/>
    <x v="3"/>
    <n v="96"/>
    <n v="25"/>
    <n v="54"/>
    <n v="3"/>
    <x v="0"/>
    <n v="1.0134865660958901"/>
    <s v="Supplier 1"/>
    <s v="Delhi"/>
    <n v="1"/>
    <n v="631"/>
    <x v="5"/>
    <n v="83.344058991677898"/>
    <x v="0"/>
    <n v="1.41034757607602"/>
    <x v="1"/>
    <x v="0"/>
    <n v="750.73784066827"/>
  </r>
  <r>
    <x v="0"/>
    <s v="SKU54"/>
    <n v="31.1462431602408"/>
    <n v="11"/>
    <n v="622"/>
    <n v="6088.0214799408504"/>
    <x v="0"/>
    <n v="33"/>
    <n v="22"/>
    <n v="61"/>
    <n v="3"/>
    <x v="0"/>
    <n v="4.3051034712876302"/>
    <s v="Supplier 1"/>
    <s v="Kolkata"/>
    <n v="26"/>
    <n v="497"/>
    <x v="0"/>
    <n v="30.186023375822501"/>
    <x v="2"/>
    <n v="2.4787719755397402"/>
    <x v="0"/>
    <x v="0"/>
    <n v="814.06999658218695"/>
  </r>
  <r>
    <x v="0"/>
    <s v="SKU55"/>
    <n v="79.855058340789398"/>
    <n v="16"/>
    <n v="701"/>
    <n v="2925.6751703038099"/>
    <x v="3"/>
    <n v="97"/>
    <n v="11"/>
    <n v="11"/>
    <n v="5"/>
    <x v="1"/>
    <n v="5.0143649550309002"/>
    <s v="Supplier 2"/>
    <s v="Delhi"/>
    <n v="27"/>
    <n v="918"/>
    <x v="10"/>
    <n v="30.323545256616502"/>
    <x v="1"/>
    <n v="4.5489196593963799"/>
    <x v="3"/>
    <x v="0"/>
    <n v="323.01292795247798"/>
  </r>
  <r>
    <x v="1"/>
    <s v="SKU56"/>
    <n v="20.9863860370433"/>
    <n v="90"/>
    <n v="93"/>
    <n v="4767.0204843441297"/>
    <x v="0"/>
    <n v="25"/>
    <n v="23"/>
    <n v="83"/>
    <n v="5"/>
    <x v="2"/>
    <n v="1.77442971407173"/>
    <s v="Supplier 1"/>
    <s v="Mumbai"/>
    <n v="24"/>
    <n v="826"/>
    <x v="19"/>
    <n v="12.8362845728327"/>
    <x v="2"/>
    <n v="1.1737554953874501"/>
    <x v="1"/>
    <x v="0"/>
    <n v="832.210808706021"/>
  </r>
  <r>
    <x v="0"/>
    <s v="SKU57"/>
    <n v="49.263205350734097"/>
    <n v="65"/>
    <n v="227"/>
    <n v="1605.8669003924001"/>
    <x v="2"/>
    <n v="5"/>
    <n v="18"/>
    <n v="51"/>
    <n v="1"/>
    <x v="0"/>
    <n v="9.1605585353818704"/>
    <s v="Supplier 2"/>
    <s v="Delhi"/>
    <n v="21"/>
    <n v="588"/>
    <x v="24"/>
    <n v="67.779622987078099"/>
    <x v="0"/>
    <n v="2.5111748302126999"/>
    <x v="2"/>
    <x v="2"/>
    <n v="482.19123860252802"/>
  </r>
  <r>
    <x v="1"/>
    <s v="SKU58"/>
    <n v="59.841561377289302"/>
    <n v="81"/>
    <n v="896"/>
    <n v="2021.1498103371"/>
    <x v="0"/>
    <n v="10"/>
    <n v="5"/>
    <n v="44"/>
    <n v="7"/>
    <x v="1"/>
    <n v="4.9384385647120901"/>
    <s v="Supplier 3"/>
    <s v="Delhi"/>
    <n v="18"/>
    <n v="396"/>
    <x v="14"/>
    <n v="65.047415094691402"/>
    <x v="1"/>
    <n v="1.7303747198591899"/>
    <x v="0"/>
    <x v="0"/>
    <n v="110.364335231364"/>
  </r>
  <r>
    <x v="2"/>
    <s v="SKU59"/>
    <n v="63.828398347710902"/>
    <n v="30"/>
    <n v="484"/>
    <n v="1061.6185230132801"/>
    <x v="0"/>
    <n v="100"/>
    <n v="16"/>
    <n v="26"/>
    <n v="7"/>
    <x v="0"/>
    <n v="7.2937225968677204"/>
    <s v="Supplier 1"/>
    <s v="Kolkata"/>
    <n v="11"/>
    <n v="176"/>
    <x v="18"/>
    <n v="1.90076224351945"/>
    <x v="1"/>
    <n v="0.44719401546382298"/>
    <x v="1"/>
    <x v="2"/>
    <n v="312.57427361009297"/>
  </r>
  <r>
    <x v="1"/>
    <s v="SKU60"/>
    <n v="17.028027920188698"/>
    <n v="16"/>
    <n v="380"/>
    <n v="8864.0843495864301"/>
    <x v="1"/>
    <n v="41"/>
    <n v="27"/>
    <n v="72"/>
    <n v="8"/>
    <x v="2"/>
    <n v="4.3813681581023101"/>
    <s v="Supplier 4"/>
    <s v="Mumbai"/>
    <n v="29"/>
    <n v="929"/>
    <x v="6"/>
    <n v="87.213057815135599"/>
    <x v="1"/>
    <n v="2.8530906166490499"/>
    <x v="2"/>
    <x v="2"/>
    <n v="430.16909697513597"/>
  </r>
  <r>
    <x v="0"/>
    <s v="SKU61"/>
    <n v="52.028749903294901"/>
    <n v="23"/>
    <n v="117"/>
    <n v="6885.5893508962499"/>
    <x v="2"/>
    <n v="32"/>
    <n v="23"/>
    <n v="36"/>
    <n v="7"/>
    <x v="2"/>
    <n v="9.0303404225219399"/>
    <s v="Supplier 4"/>
    <s v="Kolkata"/>
    <n v="14"/>
    <n v="480"/>
    <x v="23"/>
    <n v="78.702393968878894"/>
    <x v="1"/>
    <n v="4.3674705382050503"/>
    <x v="1"/>
    <x v="2"/>
    <n v="164.366528243419"/>
  </r>
  <r>
    <x v="2"/>
    <s v="SKU62"/>
    <n v="72.796353955587307"/>
    <n v="89"/>
    <n v="270"/>
    <n v="3899.7468337292198"/>
    <x v="2"/>
    <n v="86"/>
    <n v="2"/>
    <n v="40"/>
    <n v="7"/>
    <x v="2"/>
    <n v="7.2917013887767697"/>
    <s v="Supplier 2"/>
    <s v="Mumbai"/>
    <n v="13"/>
    <n v="751"/>
    <x v="13"/>
    <n v="21.048642725168602"/>
    <x v="2"/>
    <n v="1.87400140404437"/>
    <x v="3"/>
    <x v="1"/>
    <n v="320.84651575911101"/>
  </r>
  <r>
    <x v="1"/>
    <s v="SKU63"/>
    <n v="13.0173767852878"/>
    <n v="55"/>
    <n v="246"/>
    <n v="4256.9491408502199"/>
    <x v="0"/>
    <n v="54"/>
    <n v="19"/>
    <n v="10"/>
    <n v="4"/>
    <x v="1"/>
    <n v="2.45793352798733"/>
    <s v="Supplier 3"/>
    <s v="Bangalore"/>
    <n v="18"/>
    <n v="736"/>
    <x v="12"/>
    <n v="20.075003975630398"/>
    <x v="0"/>
    <n v="3.6328432903821302"/>
    <x v="3"/>
    <x v="2"/>
    <n v="687.28617786641701"/>
  </r>
  <r>
    <x v="1"/>
    <s v="SKU64"/>
    <n v="89.634095608135297"/>
    <n v="11"/>
    <n v="134"/>
    <n v="8458.7308783671706"/>
    <x v="1"/>
    <n v="73"/>
    <n v="27"/>
    <n v="75"/>
    <n v="6"/>
    <x v="2"/>
    <n v="4.5853534681946497"/>
    <s v="Supplier 1"/>
    <s v="Delhi"/>
    <n v="17"/>
    <n v="328"/>
    <x v="17"/>
    <n v="8.6930424258772803"/>
    <x v="1"/>
    <n v="0.15948631471751401"/>
    <x v="1"/>
    <x v="1"/>
    <n v="771.225084681157"/>
  </r>
  <r>
    <x v="1"/>
    <s v="SKU65"/>
    <n v="33.697717206643098"/>
    <n v="72"/>
    <n v="457"/>
    <n v="8354.5796864819895"/>
    <x v="3"/>
    <n v="57"/>
    <n v="24"/>
    <n v="54"/>
    <n v="8"/>
    <x v="2"/>
    <n v="6.5805413478845898"/>
    <s v="Supplier 5"/>
    <s v="Kolkata"/>
    <n v="16"/>
    <n v="358"/>
    <x v="15"/>
    <n v="1.59722274305067"/>
    <x v="1"/>
    <n v="4.9110959548423301"/>
    <x v="2"/>
    <x v="1"/>
    <n v="555.85910367174301"/>
  </r>
  <r>
    <x v="1"/>
    <s v="SKU66"/>
    <n v="26.034869773962001"/>
    <n v="52"/>
    <n v="704"/>
    <n v="8367.7216180201503"/>
    <x v="1"/>
    <n v="13"/>
    <n v="17"/>
    <n v="19"/>
    <n v="8"/>
    <x v="1"/>
    <n v="2.2161427287713602"/>
    <s v="Supplier 5"/>
    <s v="Kolkata"/>
    <n v="24"/>
    <n v="867"/>
    <x v="19"/>
    <n v="42.084436738309897"/>
    <x v="1"/>
    <n v="3.44806328834026"/>
    <x v="0"/>
    <x v="2"/>
    <n v="393.84334857842703"/>
  </r>
  <r>
    <x v="1"/>
    <s v="SKU67"/>
    <n v="87.755432354001002"/>
    <n v="16"/>
    <n v="513"/>
    <n v="9473.7980325083299"/>
    <x v="2"/>
    <n v="12"/>
    <n v="9"/>
    <n v="71"/>
    <n v="9"/>
    <x v="2"/>
    <n v="9.1478115447106294"/>
    <s v="Supplier 1"/>
    <s v="Mumbai"/>
    <n v="10"/>
    <n v="198"/>
    <x v="11"/>
    <n v="7.0578761469782298"/>
    <x v="2"/>
    <n v="0.131955444311814"/>
    <x v="3"/>
    <x v="1"/>
    <n v="169.27180138478599"/>
  </r>
  <r>
    <x v="0"/>
    <s v="SKU68"/>
    <n v="37.931812382790298"/>
    <n v="29"/>
    <n v="163"/>
    <n v="3550.21843278099"/>
    <x v="0"/>
    <n v="0"/>
    <n v="8"/>
    <n v="58"/>
    <n v="8"/>
    <x v="0"/>
    <n v="1.19425186488499"/>
    <s v="Supplier 2"/>
    <s v="Bangalore"/>
    <n v="2"/>
    <n v="375"/>
    <x v="3"/>
    <n v="97.113581563462205"/>
    <x v="1"/>
    <n v="1.9834678721741801"/>
    <x v="2"/>
    <x v="2"/>
    <n v="299.70630311810299"/>
  </r>
  <r>
    <x v="1"/>
    <s v="SKU69"/>
    <n v="54.865528517069698"/>
    <n v="62"/>
    <n v="511"/>
    <n v="1752.3810874841199"/>
    <x v="0"/>
    <n v="95"/>
    <n v="1"/>
    <n v="27"/>
    <n v="3"/>
    <x v="0"/>
    <n v="9.7052867901203399"/>
    <s v="Supplier 4"/>
    <s v="Kolkata"/>
    <n v="9"/>
    <n v="862"/>
    <x v="14"/>
    <n v="77.627765812748095"/>
    <x v="0"/>
    <n v="1.3623879886490999"/>
    <x v="1"/>
    <x v="2"/>
    <n v="207.66320620857499"/>
  </r>
  <r>
    <x v="0"/>
    <s v="SKU70"/>
    <n v="47.914541824058702"/>
    <n v="90"/>
    <n v="32"/>
    <n v="7014.8879872033804"/>
    <x v="1"/>
    <n v="10"/>
    <n v="12"/>
    <n v="22"/>
    <n v="4"/>
    <x v="0"/>
    <n v="6.3157177546007199"/>
    <s v="Supplier 1"/>
    <s v="Bangalore"/>
    <n v="22"/>
    <n v="775"/>
    <x v="16"/>
    <n v="11.440781823761199"/>
    <x v="2"/>
    <n v="1.8305755986122301"/>
    <x v="0"/>
    <x v="1"/>
    <n v="183.27289874871099"/>
  </r>
  <r>
    <x v="2"/>
    <s v="SKU71"/>
    <n v="6.3815331627479601"/>
    <n v="14"/>
    <n v="637"/>
    <n v="8180.3370854254399"/>
    <x v="1"/>
    <n v="76"/>
    <n v="2"/>
    <n v="26"/>
    <n v="6"/>
    <x v="1"/>
    <n v="9.2281903170525101"/>
    <s v="Supplier 2"/>
    <s v="Bangalore"/>
    <n v="2"/>
    <n v="258"/>
    <x v="12"/>
    <n v="30.661677477859499"/>
    <x v="0"/>
    <n v="2.07875060787496"/>
    <x v="0"/>
    <x v="2"/>
    <n v="405.167067888855"/>
  </r>
  <r>
    <x v="2"/>
    <s v="SKU72"/>
    <n v="90.204427520528"/>
    <n v="88"/>
    <n v="478"/>
    <n v="2633.1219813122498"/>
    <x v="0"/>
    <n v="57"/>
    <n v="29"/>
    <n v="77"/>
    <n v="9"/>
    <x v="1"/>
    <n v="6.5996141596895397"/>
    <s v="Supplier 1"/>
    <s v="Bangalore"/>
    <n v="21"/>
    <n v="152"/>
    <x v="11"/>
    <n v="55.760492895244198"/>
    <x v="0"/>
    <n v="3.2133296074383"/>
    <x v="2"/>
    <x v="0"/>
    <n v="677.94456984618296"/>
  </r>
  <r>
    <x v="2"/>
    <s v="SKU73"/>
    <n v="83.851017681304597"/>
    <n v="41"/>
    <n v="375"/>
    <n v="7910.8869161406801"/>
    <x v="3"/>
    <n v="17"/>
    <n v="25"/>
    <n v="66"/>
    <n v="5"/>
    <x v="0"/>
    <n v="1.5129368369160701"/>
    <s v="Supplier 4"/>
    <s v="Chennai"/>
    <n v="13"/>
    <n v="444"/>
    <x v="18"/>
    <n v="46.870238797617098"/>
    <x v="1"/>
    <n v="4.6205460645137002"/>
    <x v="0"/>
    <x v="2"/>
    <n v="866.472800129657"/>
  </r>
  <r>
    <x v="0"/>
    <s v="SKU74"/>
    <n v="3.1700114135661499"/>
    <n v="64"/>
    <n v="904"/>
    <n v="5709.9452959692799"/>
    <x v="1"/>
    <n v="41"/>
    <n v="6"/>
    <n v="1"/>
    <n v="5"/>
    <x v="1"/>
    <n v="5.2376546500374399"/>
    <s v="Supplier 4"/>
    <s v="Delhi"/>
    <n v="1"/>
    <n v="919"/>
    <x v="26"/>
    <n v="80.580852156447804"/>
    <x v="1"/>
    <n v="0.39661272410993498"/>
    <x v="2"/>
    <x v="2"/>
    <n v="341.55265678322297"/>
  </r>
  <r>
    <x v="1"/>
    <s v="SKU75"/>
    <n v="92.996884233970604"/>
    <n v="29"/>
    <n v="106"/>
    <n v="1889.07358977933"/>
    <x v="0"/>
    <n v="16"/>
    <n v="20"/>
    <n v="56"/>
    <n v="10"/>
    <x v="2"/>
    <n v="2.47389776104546"/>
    <s v="Supplier 1"/>
    <s v="Chennai"/>
    <n v="25"/>
    <n v="759"/>
    <x v="11"/>
    <n v="48.064782640006499"/>
    <x v="2"/>
    <n v="2.0300690886687498"/>
    <x v="1"/>
    <x v="1"/>
    <n v="873.12964801765099"/>
  </r>
  <r>
    <x v="0"/>
    <s v="SKU76"/>
    <n v="69.108799547430294"/>
    <n v="23"/>
    <n v="241"/>
    <n v="5328.3759842977497"/>
    <x v="3"/>
    <n v="38"/>
    <n v="1"/>
    <n v="22"/>
    <n v="10"/>
    <x v="1"/>
    <n v="7.0545383368369201"/>
    <s v="Supplier 2"/>
    <s v="Bangalore"/>
    <n v="25"/>
    <n v="985"/>
    <x v="6"/>
    <n v="64.323597795600193"/>
    <x v="0"/>
    <n v="2.1800374515822099"/>
    <x v="2"/>
    <x v="2"/>
    <n v="997.41345013319403"/>
  </r>
  <r>
    <x v="0"/>
    <s v="SKU77"/>
    <n v="57.449742958971399"/>
    <n v="14"/>
    <n v="359"/>
    <n v="2483.7601775427902"/>
    <x v="2"/>
    <n v="96"/>
    <n v="28"/>
    <n v="57"/>
    <n v="4"/>
    <x v="0"/>
    <n v="6.7809466256178901"/>
    <s v="Supplier 1"/>
    <s v="Kolkata"/>
    <n v="26"/>
    <n v="334"/>
    <x v="10"/>
    <n v="42.952444748991802"/>
    <x v="2"/>
    <n v="3.0551418183075398"/>
    <x v="0"/>
    <x v="0"/>
    <n v="852.56809891984994"/>
  </r>
  <r>
    <x v="0"/>
    <s v="SKU78"/>
    <n v="6.30688317611191"/>
    <n v="50"/>
    <n v="946"/>
    <n v="1292.45841793775"/>
    <x v="2"/>
    <n v="5"/>
    <n v="4"/>
    <n v="51"/>
    <n v="5"/>
    <x v="0"/>
    <n v="8.4670497708619905"/>
    <s v="Supplier 5"/>
    <s v="Mumbai"/>
    <n v="25"/>
    <n v="858"/>
    <x v="15"/>
    <n v="71.126514720403307"/>
    <x v="0"/>
    <n v="4.0968813324704501"/>
    <x v="3"/>
    <x v="1"/>
    <n v="323.59220343132199"/>
  </r>
  <r>
    <x v="0"/>
    <s v="SKU79"/>
    <n v="57.057031221103202"/>
    <n v="56"/>
    <n v="198"/>
    <n v="7888.7232684270803"/>
    <x v="0"/>
    <n v="31"/>
    <n v="25"/>
    <n v="20"/>
    <n v="1"/>
    <x v="0"/>
    <n v="6.49632536429504"/>
    <s v="Supplier 3"/>
    <s v="Bangalore"/>
    <n v="5"/>
    <n v="228"/>
    <x v="23"/>
    <n v="57.870902924036201"/>
    <x v="0"/>
    <n v="0.16587162748060799"/>
    <x v="1"/>
    <x v="1"/>
    <n v="351.50421933503799"/>
  </r>
  <r>
    <x v="1"/>
    <s v="SKU80"/>
    <n v="91.128318350444303"/>
    <n v="75"/>
    <n v="872"/>
    <n v="8651.67268298206"/>
    <x v="2"/>
    <n v="39"/>
    <n v="14"/>
    <n v="41"/>
    <n v="2"/>
    <x v="2"/>
    <n v="2.8331846794189701"/>
    <s v="Supplier 3"/>
    <s v="Chennai"/>
    <n v="8"/>
    <n v="202"/>
    <x v="10"/>
    <n v="76.961228023819999"/>
    <x v="1"/>
    <n v="2.8496621985053299"/>
    <x v="3"/>
    <x v="0"/>
    <n v="787.77985049434403"/>
  </r>
  <r>
    <x v="0"/>
    <s v="SKU81"/>
    <n v="72.819206930318202"/>
    <n v="9"/>
    <n v="774"/>
    <n v="4384.4134000458598"/>
    <x v="2"/>
    <n v="48"/>
    <n v="6"/>
    <n v="8"/>
    <n v="5"/>
    <x v="0"/>
    <n v="4.0662775015120403"/>
    <s v="Supplier 3"/>
    <s v="Delhi"/>
    <n v="28"/>
    <n v="698"/>
    <x v="7"/>
    <n v="19.789592941903599"/>
    <x v="0"/>
    <n v="2.54754712154871"/>
    <x v="2"/>
    <x v="0"/>
    <n v="276.77833594679799"/>
  </r>
  <r>
    <x v="1"/>
    <s v="SKU82"/>
    <n v="17.034930739467899"/>
    <n v="13"/>
    <n v="336"/>
    <n v="2943.3818676094502"/>
    <x v="2"/>
    <n v="42"/>
    <n v="19"/>
    <n v="72"/>
    <n v="1"/>
    <x v="1"/>
    <n v="4.7081818735419301"/>
    <s v="Supplier 2"/>
    <s v="Mumbai"/>
    <n v="6"/>
    <n v="955"/>
    <x v="27"/>
    <n v="4.4652784349432402"/>
    <x v="0"/>
    <n v="4.1378770486223502"/>
    <x v="0"/>
    <x v="1"/>
    <n v="589.97855562804"/>
  </r>
  <r>
    <x v="0"/>
    <s v="SKU83"/>
    <n v="68.911246211606297"/>
    <n v="82"/>
    <n v="663"/>
    <n v="2411.7546321104901"/>
    <x v="2"/>
    <n v="65"/>
    <n v="24"/>
    <n v="7"/>
    <n v="8"/>
    <x v="0"/>
    <n v="4.94983957799694"/>
    <s v="Supplier 1"/>
    <s v="Bangalore"/>
    <n v="20"/>
    <n v="443"/>
    <x v="10"/>
    <n v="97.730593800533001"/>
    <x v="1"/>
    <n v="0.77300613406724705"/>
    <x v="0"/>
    <x v="2"/>
    <n v="682.97101822609295"/>
  </r>
  <r>
    <x v="0"/>
    <s v="SKU84"/>
    <n v="89.104367292102197"/>
    <n v="99"/>
    <n v="618"/>
    <n v="2048.2900998487098"/>
    <x v="2"/>
    <n v="73"/>
    <n v="26"/>
    <n v="80"/>
    <n v="10"/>
    <x v="1"/>
    <n v="8.3816156249226292"/>
    <s v="Supplier 5"/>
    <s v="Chennai"/>
    <n v="24"/>
    <n v="589"/>
    <x v="28"/>
    <n v="33.808636513209002"/>
    <x v="2"/>
    <n v="4.8434565771180402"/>
    <x v="1"/>
    <x v="0"/>
    <n v="465.45700596368698"/>
  </r>
  <r>
    <x v="2"/>
    <s v="SKU85"/>
    <n v="76.962994415193805"/>
    <n v="83"/>
    <n v="25"/>
    <n v="8684.6130592538502"/>
    <x v="1"/>
    <n v="15"/>
    <n v="18"/>
    <n v="66"/>
    <n v="2"/>
    <x v="2"/>
    <n v="8.2491687048717193"/>
    <s v="Supplier 5"/>
    <s v="Chennai"/>
    <n v="4"/>
    <n v="211"/>
    <x v="20"/>
    <n v="69.929345518672307"/>
    <x v="1"/>
    <n v="1.3744289997457499"/>
    <x v="0"/>
    <x v="0"/>
    <n v="842.68683000464102"/>
  </r>
  <r>
    <x v="1"/>
    <s v="SKU86"/>
    <n v="19.9981769404042"/>
    <n v="18"/>
    <n v="223"/>
    <n v="1229.59102856498"/>
    <x v="2"/>
    <n v="32"/>
    <n v="14"/>
    <n v="22"/>
    <n v="6"/>
    <x v="0"/>
    <n v="1.4543053101535499"/>
    <s v="Supplier 1"/>
    <s v="Mumbai"/>
    <n v="4"/>
    <n v="569"/>
    <x v="3"/>
    <n v="74.608969995194599"/>
    <x v="2"/>
    <n v="2.0515129307662399"/>
    <x v="2"/>
    <x v="2"/>
    <n v="264.25488983586598"/>
  </r>
  <r>
    <x v="0"/>
    <s v="SKU87"/>
    <n v="80.414036650355698"/>
    <n v="24"/>
    <n v="79"/>
    <n v="5133.8467010866898"/>
    <x v="3"/>
    <n v="5"/>
    <n v="7"/>
    <n v="55"/>
    <n v="10"/>
    <x v="1"/>
    <n v="6.5758037975485299"/>
    <s v="Supplier 3"/>
    <s v="Chennai"/>
    <n v="27"/>
    <n v="523"/>
    <x v="5"/>
    <n v="28.696996824143099"/>
    <x v="1"/>
    <n v="3.6937377878392699"/>
    <x v="3"/>
    <x v="0"/>
    <n v="879.35921773492396"/>
  </r>
  <r>
    <x v="2"/>
    <s v="SKU88"/>
    <n v="75.270406975724995"/>
    <n v="58"/>
    <n v="737"/>
    <n v="9444.7420330629793"/>
    <x v="3"/>
    <n v="60"/>
    <n v="18"/>
    <n v="85"/>
    <n v="7"/>
    <x v="1"/>
    <n v="3.8012531329310701"/>
    <s v="Supplier 2"/>
    <s v="Mumbai"/>
    <n v="21"/>
    <n v="953"/>
    <x v="11"/>
    <n v="68.1849190570411"/>
    <x v="0"/>
    <n v="0.722204401882931"/>
    <x v="3"/>
    <x v="2"/>
    <n v="103.916247960704"/>
  </r>
  <r>
    <x v="2"/>
    <s v="SKU89"/>
    <n v="97.760085581938597"/>
    <n v="10"/>
    <n v="134"/>
    <n v="5924.6825668532301"/>
    <x v="2"/>
    <n v="90"/>
    <n v="1"/>
    <n v="27"/>
    <n v="8"/>
    <x v="0"/>
    <n v="9.9298162452772498"/>
    <s v="Supplier 1"/>
    <s v="Kolkata"/>
    <n v="23"/>
    <n v="370"/>
    <x v="11"/>
    <n v="46.603873381644398"/>
    <x v="0"/>
    <n v="1.9076657339590699"/>
    <x v="2"/>
    <x v="0"/>
    <n v="517.49997392906005"/>
  </r>
  <r>
    <x v="1"/>
    <s v="SKU90"/>
    <n v="13.881913501359101"/>
    <n v="56"/>
    <n v="320"/>
    <n v="9592.6335702803099"/>
    <x v="0"/>
    <n v="66"/>
    <n v="18"/>
    <n v="96"/>
    <n v="7"/>
    <x v="0"/>
    <n v="7.6744307081126903"/>
    <s v="Supplier 3"/>
    <s v="Bangalore"/>
    <n v="8"/>
    <n v="585"/>
    <x v="8"/>
    <n v="85.675963335797903"/>
    <x v="2"/>
    <n v="1.2193822244013801"/>
    <x v="2"/>
    <x v="0"/>
    <n v="990.07847250581096"/>
  </r>
  <r>
    <x v="2"/>
    <s v="SKU91"/>
    <n v="62.111965463961702"/>
    <n v="90"/>
    <n v="916"/>
    <n v="1935.20679350759"/>
    <x v="3"/>
    <n v="98"/>
    <n v="22"/>
    <n v="85"/>
    <n v="7"/>
    <x v="0"/>
    <n v="7.4715140844011403"/>
    <s v="Supplier 4"/>
    <s v="Delhi"/>
    <n v="5"/>
    <n v="207"/>
    <x v="19"/>
    <n v="39.772882502339897"/>
    <x v="0"/>
    <n v="0.62600185820939402"/>
    <x v="2"/>
    <x v="0"/>
    <n v="996.77831495062298"/>
  </r>
  <r>
    <x v="2"/>
    <s v="SKU92"/>
    <n v="47.714233075820196"/>
    <n v="44"/>
    <n v="276"/>
    <n v="2100.1297546259302"/>
    <x v="3"/>
    <n v="90"/>
    <n v="25"/>
    <n v="10"/>
    <n v="8"/>
    <x v="0"/>
    <n v="4.4695000261236002"/>
    <s v="Supplier 2"/>
    <s v="Mumbai"/>
    <n v="4"/>
    <n v="671"/>
    <x v="0"/>
    <n v="62.612690395614301"/>
    <x v="2"/>
    <n v="0.33343182522473902"/>
    <x v="2"/>
    <x v="0"/>
    <n v="230.092782536762"/>
  </r>
  <r>
    <x v="0"/>
    <s v="SKU93"/>
    <n v="69.290831002905406"/>
    <n v="88"/>
    <n v="114"/>
    <n v="4531.4021336919004"/>
    <x v="2"/>
    <n v="63"/>
    <n v="17"/>
    <n v="66"/>
    <n v="1"/>
    <x v="2"/>
    <n v="7.00643205900439"/>
    <s v="Supplier 4"/>
    <s v="Chennai"/>
    <n v="21"/>
    <n v="824"/>
    <x v="25"/>
    <n v="35.633652343343797"/>
    <x v="1"/>
    <n v="4.1657817954241398"/>
    <x v="1"/>
    <x v="2"/>
    <n v="823.52384588815505"/>
  </r>
  <r>
    <x v="2"/>
    <s v="SKU94"/>
    <n v="3.0376887246314102"/>
    <n v="97"/>
    <n v="987"/>
    <n v="7888.3565466618702"/>
    <x v="2"/>
    <n v="77"/>
    <n v="26"/>
    <n v="72"/>
    <n v="9"/>
    <x v="0"/>
    <n v="6.9429459420325799"/>
    <s v="Supplier 2"/>
    <s v="Delhi"/>
    <n v="12"/>
    <n v="908"/>
    <x v="13"/>
    <n v="60.387378614862101"/>
    <x v="2"/>
    <n v="1.4636074984727701"/>
    <x v="2"/>
    <x v="0"/>
    <n v="846.66525698669398"/>
  </r>
  <r>
    <x v="0"/>
    <s v="SKU95"/>
    <n v="77.903927219447695"/>
    <n v="65"/>
    <n v="672"/>
    <n v="7386.3639440486604"/>
    <x v="2"/>
    <n v="15"/>
    <n v="14"/>
    <n v="26"/>
    <n v="9"/>
    <x v="0"/>
    <n v="8.6303388696027508"/>
    <s v="Supplier 4"/>
    <s v="Mumbai"/>
    <n v="18"/>
    <n v="450"/>
    <x v="27"/>
    <n v="58.890685768589897"/>
    <x v="0"/>
    <n v="1.21088212958506"/>
    <x v="1"/>
    <x v="2"/>
    <n v="778.86424137664699"/>
  </r>
  <r>
    <x v="2"/>
    <s v="SKU96"/>
    <n v="24.423131420373299"/>
    <n v="29"/>
    <n v="324"/>
    <n v="7698.4247656321104"/>
    <x v="0"/>
    <n v="67"/>
    <n v="2"/>
    <n v="32"/>
    <n v="3"/>
    <x v="2"/>
    <n v="5.3528780439967996"/>
    <s v="Supplier 3"/>
    <s v="Mumbai"/>
    <n v="28"/>
    <n v="648"/>
    <x v="19"/>
    <n v="17.803756331391199"/>
    <x v="0"/>
    <n v="3.8720476814821301"/>
    <x v="0"/>
    <x v="2"/>
    <n v="188.74214114905601"/>
  </r>
  <r>
    <x v="0"/>
    <s v="SKU97"/>
    <n v="3.5261112591434101"/>
    <n v="56"/>
    <n v="62"/>
    <n v="4370.9165799845296"/>
    <x v="3"/>
    <n v="46"/>
    <n v="19"/>
    <n v="4"/>
    <n v="9"/>
    <x v="1"/>
    <n v="7.9048456112096703"/>
    <s v="Supplier 4"/>
    <s v="Mumbai"/>
    <n v="10"/>
    <n v="535"/>
    <x v="29"/>
    <n v="65.765155926367399"/>
    <x v="1"/>
    <n v="3.3762378347179798"/>
    <x v="0"/>
    <x v="2"/>
    <n v="540.13242286796697"/>
  </r>
  <r>
    <x v="1"/>
    <s v="SKU98"/>
    <n v="19.754604866878601"/>
    <n v="43"/>
    <n v="913"/>
    <n v="8525.9525596835192"/>
    <x v="1"/>
    <n v="53"/>
    <n v="1"/>
    <n v="27"/>
    <n v="7"/>
    <x v="0"/>
    <n v="1.4098010951380699"/>
    <s v="Supplier 5"/>
    <s v="Chennai"/>
    <n v="28"/>
    <n v="581"/>
    <x v="26"/>
    <n v="5.6046908643717801"/>
    <x v="0"/>
    <n v="2.9081221693512598"/>
    <x v="2"/>
    <x v="2"/>
    <n v="882.19886354704101"/>
  </r>
  <r>
    <x v="0"/>
    <s v="SKU99"/>
    <n v="68.517832699276596"/>
    <n v="17"/>
    <n v="627"/>
    <n v="9185.1858291817007"/>
    <x v="2"/>
    <n v="55"/>
    <n v="8"/>
    <n v="59"/>
    <n v="6"/>
    <x v="0"/>
    <n v="1.3110237561206199"/>
    <s v="Supplier 2"/>
    <s v="Chennai"/>
    <n v="29"/>
    <n v="921"/>
    <x v="20"/>
    <n v="38.072898520625998"/>
    <x v="1"/>
    <n v="0.34602729070550298"/>
    <x v="2"/>
    <x v="0"/>
    <n v="210.7430089642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n v="802"/>
    <n v="8661.9967923923796"/>
    <s v="Non-binary"/>
    <n v="58"/>
    <n v="7"/>
    <n v="96"/>
    <n v="4"/>
    <s v="Carrier B"/>
    <n v="2.9565721394308002"/>
    <s v="Supplier 3"/>
    <s v="Mumbai"/>
    <n v="29"/>
    <n v="215"/>
    <n v="29"/>
    <n v="46.279879240508301"/>
    <s v="Pending"/>
    <n v="0.226410360849925"/>
    <s v="Road"/>
    <s v="Route B"/>
    <n v="187.75207545920301"/>
    <n v="65"/>
  </r>
  <r>
    <x v="1"/>
    <s v="SKU1"/>
    <n v="14.8435232750843"/>
    <n v="95"/>
    <n v="736"/>
    <n v="7460.9000654458396"/>
    <s v="Female"/>
    <n v="53"/>
    <n v="30"/>
    <n v="37"/>
    <n v="2"/>
    <s v="Carrier A"/>
    <n v="9.7165747714313095"/>
    <s v="Supplier 3"/>
    <s v="Mumbai"/>
    <n v="23"/>
    <n v="517"/>
    <n v="30"/>
    <n v="33.616768953730002"/>
    <s v="Pending"/>
    <n v="4.8540680263886999"/>
    <s v="Road"/>
    <s v="Route B"/>
    <n v="503.06557914966902"/>
    <n v="83"/>
  </r>
  <r>
    <x v="0"/>
    <s v="SKU2"/>
    <n v="11.319683293090501"/>
    <n v="34"/>
    <n v="8"/>
    <n v="9577.7496258687297"/>
    <s v="Unknown"/>
    <n v="1"/>
    <n v="10"/>
    <n v="88"/>
    <n v="2"/>
    <s v="Carrier B"/>
    <n v="8.0544792617321495"/>
    <s v="Supplier 1"/>
    <s v="Mumbai"/>
    <n v="12"/>
    <n v="971"/>
    <n v="27"/>
    <n v="30.6880193482842"/>
    <s v="Pending"/>
    <n v="4.5805926191992201"/>
    <s v="Air"/>
    <s v="Route C"/>
    <n v="141.920281771519"/>
    <n v="49"/>
  </r>
  <r>
    <x v="1"/>
    <s v="SKU3"/>
    <n v="61.1633430164377"/>
    <n v="68"/>
    <n v="83"/>
    <n v="7766.8364256852301"/>
    <s v="Non-binary"/>
    <n v="23"/>
    <n v="13"/>
    <n v="59"/>
    <n v="6"/>
    <s v="Carrier C"/>
    <n v="1.7295685635434199"/>
    <s v="Supplier 5"/>
    <s v="Kolkata"/>
    <n v="24"/>
    <n v="937"/>
    <n v="18"/>
    <n v="35.624741397125"/>
    <s v="Fail"/>
    <n v="4.7466486206477496"/>
    <s v="Rail"/>
    <s v="Route A"/>
    <n v="254.776159219286"/>
    <n v="55"/>
  </r>
  <r>
    <x v="1"/>
    <s v="SKU4"/>
    <n v="4.8054960363458896"/>
    <n v="26"/>
    <n v="871"/>
    <n v="2686.50515156744"/>
    <s v="Non-binary"/>
    <n v="5"/>
    <n v="3"/>
    <n v="56"/>
    <n v="8"/>
    <s v="Carrier A"/>
    <n v="3.8905479158706702"/>
    <s v="Supplier 1"/>
    <s v="Delhi"/>
    <n v="5"/>
    <n v="414"/>
    <n v="3"/>
    <n v="92.065160598712794"/>
    <s v="Fail"/>
    <n v="3.1455795228330001"/>
    <s v="Air"/>
    <s v="Route A"/>
    <n v="923.44063171192204"/>
    <n v="11"/>
  </r>
  <r>
    <x v="0"/>
    <s v="SKU5"/>
    <n v="1.6999760138659299"/>
    <n v="87"/>
    <n v="147"/>
    <n v="2828.3487459757498"/>
    <s v="Non-binary"/>
    <n v="90"/>
    <n v="27"/>
    <n v="66"/>
    <n v="3"/>
    <s v="Carrier B"/>
    <n v="4.4440988643822896"/>
    <s v="Supplier 4"/>
    <s v="Bangalore"/>
    <n v="10"/>
    <n v="104"/>
    <n v="17"/>
    <n v="56.766475557431797"/>
    <s v="Fail"/>
    <n v="2.7791935115711599"/>
    <s v="Road"/>
    <s v="Route A"/>
    <n v="235.461236735537"/>
    <n v="54"/>
  </r>
  <r>
    <x v="1"/>
    <s v="SKU6"/>
    <n v="4.0783328631079403"/>
    <n v="48"/>
    <n v="65"/>
    <n v="7823.4765595317303"/>
    <s v="Male"/>
    <n v="11"/>
    <n v="15"/>
    <n v="58"/>
    <n v="8"/>
    <s v="Carrier C"/>
    <n v="3.8807633029519999"/>
    <s v="Supplier 3"/>
    <s v="Kolkata"/>
    <n v="14"/>
    <n v="314"/>
    <n v="24"/>
    <n v="1.0850685695870601"/>
    <s v="Pending"/>
    <n v="1.0009106193041299"/>
    <s v="Sea"/>
    <s v="Route A"/>
    <n v="134.36909686103101"/>
    <n v="53"/>
  </r>
  <r>
    <x v="2"/>
    <s v="SKU7"/>
    <n v="42.958384382459997"/>
    <n v="59"/>
    <n v="426"/>
    <n v="8496.1038130898305"/>
    <s v="Female"/>
    <n v="93"/>
    <n v="17"/>
    <n v="11"/>
    <n v="1"/>
    <s v="Carrier B"/>
    <n v="2.3483387844177801"/>
    <s v="Supplier 4"/>
    <s v="Bangalore"/>
    <n v="22"/>
    <n v="564"/>
    <n v="1"/>
    <n v="99.466108603599096"/>
    <s v="Fail"/>
    <n v="0.39817718685065001"/>
    <s v="Road"/>
    <s v="Route C"/>
    <n v="802.05631181755803"/>
    <n v="40"/>
  </r>
  <r>
    <x v="2"/>
    <s v="SKU8"/>
    <n v="68.717596748527299"/>
    <n v="78"/>
    <n v="150"/>
    <n v="7517.3632106311197"/>
    <s v="Female"/>
    <n v="5"/>
    <n v="10"/>
    <n v="15"/>
    <n v="7"/>
    <s v="Carrier C"/>
    <n v="3.4047338570830199"/>
    <s v="Supplier 4"/>
    <s v="Mumbai"/>
    <n v="13"/>
    <n v="769"/>
    <n v="8"/>
    <n v="11.423027139565599"/>
    <s v="Pending"/>
    <n v="2.7098626911099601"/>
    <s v="Sea"/>
    <s v="Route B"/>
    <n v="505.55713422546398"/>
    <n v="31"/>
  </r>
  <r>
    <x v="1"/>
    <s v="SKU9"/>
    <n v="64.0157329412785"/>
    <n v="35"/>
    <n v="980"/>
    <n v="4971.1459875855498"/>
    <s v="Unknown"/>
    <n v="14"/>
    <n v="27"/>
    <n v="83"/>
    <n v="1"/>
    <s v="Carrier A"/>
    <n v="7.1666452910482104"/>
    <s v="Supplier 2"/>
    <s v="Chennai"/>
    <n v="29"/>
    <n v="963"/>
    <n v="23"/>
    <n v="47.957601634951502"/>
    <s v="Pending"/>
    <n v="3.8446144787675798"/>
    <s v="Rail"/>
    <s v="Route B"/>
    <n v="995.92946149864099"/>
    <n v="79"/>
  </r>
  <r>
    <x v="1"/>
    <s v="SKU10"/>
    <n v="15.707795681912099"/>
    <n v="11"/>
    <n v="996"/>
    <n v="2330.9658020919401"/>
    <s v="Non-binary"/>
    <n v="51"/>
    <n v="13"/>
    <n v="80"/>
    <n v="2"/>
    <s v="Carrier C"/>
    <n v="8.6732112112786108"/>
    <s v="Supplier 5"/>
    <s v="Kolkata"/>
    <n v="18"/>
    <n v="830"/>
    <n v="5"/>
    <n v="96.527352785310896"/>
    <s v="Pass"/>
    <n v="1.72731392835594"/>
    <s v="Road"/>
    <s v="Route B"/>
    <n v="806.10317770292295"/>
    <n v="36"/>
  </r>
  <r>
    <x v="1"/>
    <s v="SKU11"/>
    <n v="90.635459982288594"/>
    <n v="95"/>
    <n v="960"/>
    <n v="6099.9441155814502"/>
    <s v="Female"/>
    <n v="46"/>
    <n v="23"/>
    <n v="60"/>
    <n v="1"/>
    <s v="Carrier A"/>
    <n v="4.5239431243166601"/>
    <s v="Supplier 2"/>
    <s v="Kolkata"/>
    <n v="28"/>
    <n v="362"/>
    <n v="11"/>
    <n v="27.5923630866636"/>
    <s v="Pending"/>
    <n v="2.1169821372994301E-2"/>
    <s v="Air"/>
    <s v="Route A"/>
    <n v="126.72303340940699"/>
    <n v="62"/>
  </r>
  <r>
    <x v="0"/>
    <s v="SKU12"/>
    <n v="71.213389075359999"/>
    <n v="41"/>
    <n v="336"/>
    <n v="2873.74144602144"/>
    <s v="Unknown"/>
    <n v="100"/>
    <n v="30"/>
    <n v="85"/>
    <n v="4"/>
    <s v="Carrier A"/>
    <n v="1.32527401018452"/>
    <s v="Supplier 4"/>
    <s v="Kolkata"/>
    <n v="3"/>
    <n v="563"/>
    <n v="3"/>
    <n v="32.321286213424003"/>
    <s v="Fail"/>
    <n v="2.1612537475559099"/>
    <s v="Road"/>
    <s v="Route B"/>
    <n v="402.96878907376998"/>
    <n v="36"/>
  </r>
  <r>
    <x v="1"/>
    <s v="SKU13"/>
    <n v="16.160393317379899"/>
    <n v="5"/>
    <n v="249"/>
    <n v="4052.7384162378598"/>
    <s v="Male"/>
    <n v="80"/>
    <n v="8"/>
    <n v="48"/>
    <n v="9"/>
    <s v="Carrier A"/>
    <n v="9.5372830611083295"/>
    <s v="Supplier 5"/>
    <s v="Bangalore"/>
    <n v="23"/>
    <n v="173"/>
    <n v="10"/>
    <n v="97.829050110173199"/>
    <s v="Pending"/>
    <n v="1.63107423007153"/>
    <s v="Road"/>
    <s v="Route B"/>
    <n v="547.24100516096803"/>
    <n v="41"/>
  </r>
  <r>
    <x v="1"/>
    <s v="SKU14"/>
    <n v="99.171328638624104"/>
    <n v="26"/>
    <n v="562"/>
    <n v="8653.5709264697998"/>
    <s v="Non-binary"/>
    <n v="54"/>
    <n v="29"/>
    <n v="78"/>
    <n v="5"/>
    <s v="Carrier B"/>
    <n v="2.0397701894493299"/>
    <s v="Supplier 1"/>
    <s v="Kolkata"/>
    <n v="25"/>
    <n v="558"/>
    <n v="14"/>
    <n v="5.7914366298629796"/>
    <s v="Pending"/>
    <n v="0.100682851565093"/>
    <s v="Air"/>
    <s v="Route B"/>
    <n v="929.23528996088896"/>
    <n v="68"/>
  </r>
  <r>
    <x v="1"/>
    <s v="SKU15"/>
    <n v="36.989244928626903"/>
    <n v="94"/>
    <n v="469"/>
    <n v="5442.0867853976697"/>
    <s v="Non-binary"/>
    <n v="9"/>
    <n v="8"/>
    <n v="69"/>
    <n v="7"/>
    <s v="Carrier B"/>
    <n v="2.4220397232752"/>
    <s v="Supplier 1"/>
    <s v="Bangalore"/>
    <n v="14"/>
    <n v="580"/>
    <n v="7"/>
    <n v="97.121281751474299"/>
    <s v="Pass"/>
    <n v="2.2644057611985402"/>
    <s v="Sea"/>
    <s v="Route B"/>
    <n v="127.861800001625"/>
    <n v="29"/>
  </r>
  <r>
    <x v="1"/>
    <s v="SKU16"/>
    <n v="7.5471721097912701"/>
    <n v="74"/>
    <n v="280"/>
    <n v="6453.7979681762799"/>
    <s v="Female"/>
    <n v="2"/>
    <n v="5"/>
    <n v="78"/>
    <n v="1"/>
    <s v="Carrier B"/>
    <n v="4.1913245857054999"/>
    <s v="Supplier 1"/>
    <s v="Bangalore"/>
    <n v="3"/>
    <n v="399"/>
    <n v="21"/>
    <n v="77.106342497849994"/>
    <s v="Pass"/>
    <n v="1.01256308925804"/>
    <s v="Air"/>
    <s v="Route A"/>
    <n v="865.52577977123997"/>
    <n v="29"/>
  </r>
  <r>
    <x v="2"/>
    <s v="SKU17"/>
    <n v="81.462534369237005"/>
    <n v="82"/>
    <n v="126"/>
    <n v="2629.39643484526"/>
    <s v="Female"/>
    <n v="45"/>
    <n v="17"/>
    <n v="85"/>
    <n v="9"/>
    <s v="Carrier C"/>
    <n v="3.5854189582323399"/>
    <s v="Supplier 1"/>
    <s v="Chennai"/>
    <n v="7"/>
    <n v="453"/>
    <n v="16"/>
    <n v="47.679680368355299"/>
    <s v="Fail"/>
    <n v="0.102020754918176"/>
    <s v="Air"/>
    <s v="Route C"/>
    <n v="670.93439079241"/>
    <n v="40"/>
  </r>
  <r>
    <x v="0"/>
    <s v="SKU18"/>
    <n v="36.4436277704609"/>
    <n v="23"/>
    <n v="620"/>
    <n v="9364.6735050761708"/>
    <s v="Unknown"/>
    <n v="10"/>
    <n v="10"/>
    <n v="46"/>
    <n v="8"/>
    <s v="Carrier C"/>
    <n v="4.3392247141107001"/>
    <s v="Supplier 2"/>
    <s v="Kolkata"/>
    <n v="18"/>
    <n v="374"/>
    <n v="17"/>
    <n v="27.107980854843898"/>
    <s v="Pending"/>
    <n v="2.2319391107292601"/>
    <s v="Sea"/>
    <s v="Route A"/>
    <n v="593.48025872065102"/>
    <n v="45"/>
  </r>
  <r>
    <x v="1"/>
    <s v="SKU19"/>
    <n v="51.123870087964697"/>
    <n v="100"/>
    <n v="187"/>
    <n v="2553.4955849912099"/>
    <s v="Unknown"/>
    <n v="48"/>
    <n v="11"/>
    <n v="94"/>
    <n v="3"/>
    <s v="Carrier A"/>
    <n v="4.7426358828418698"/>
    <s v="Supplier 4"/>
    <s v="Chennai"/>
    <n v="20"/>
    <n v="694"/>
    <n v="16"/>
    <n v="82.373320587990193"/>
    <s v="Fail"/>
    <n v="3.64645086541702"/>
    <s v="Road"/>
    <s v="Route C"/>
    <n v="477.30763109090299"/>
    <n v="47"/>
  </r>
  <r>
    <x v="1"/>
    <s v="SKU20"/>
    <n v="96.341072439963298"/>
    <n v="22"/>
    <n v="320"/>
    <n v="8128.0276968511898"/>
    <s v="Unknown"/>
    <n v="27"/>
    <n v="12"/>
    <n v="68"/>
    <n v="6"/>
    <s v="Carrier A"/>
    <n v="8.8783346509268402"/>
    <s v="Supplier 1"/>
    <s v="Chennai"/>
    <n v="29"/>
    <n v="309"/>
    <n v="6"/>
    <n v="65.686259608488598"/>
    <s v="Pass"/>
    <n v="4.2314165735345304"/>
    <s v="Air"/>
    <s v="Route B"/>
    <n v="493.871215316205"/>
    <n v="47"/>
  </r>
  <r>
    <x v="2"/>
    <s v="SKU21"/>
    <n v="84.893868984950799"/>
    <n v="60"/>
    <n v="601"/>
    <n v="7087.0526963574302"/>
    <s v="Unknown"/>
    <n v="69"/>
    <n v="25"/>
    <n v="7"/>
    <n v="6"/>
    <s v="Carrier B"/>
    <n v="6.0378837692182898"/>
    <s v="Supplier 5"/>
    <s v="Chennai"/>
    <n v="19"/>
    <n v="791"/>
    <n v="4"/>
    <n v="61.735728954160898"/>
    <s v="Pending"/>
    <n v="1.8607567631014899E-2"/>
    <s v="Air"/>
    <s v="Route C"/>
    <n v="523.36091472015801"/>
    <n v="48"/>
  </r>
  <r>
    <x v="0"/>
    <s v="SKU22"/>
    <n v="27.679780886501899"/>
    <n v="55"/>
    <n v="884"/>
    <n v="2390.8078665561702"/>
    <s v="Unknown"/>
    <n v="71"/>
    <n v="1"/>
    <n v="63"/>
    <n v="10"/>
    <s v="Carrier A"/>
    <n v="9.5676489209230393"/>
    <s v="Supplier 4"/>
    <s v="Kolkata"/>
    <n v="22"/>
    <n v="780"/>
    <n v="28"/>
    <n v="50.120839612977299"/>
    <s v="Fail"/>
    <n v="2.5912754732111098"/>
    <s v="Rail"/>
    <s v="Route C"/>
    <n v="205.57199582694699"/>
    <n v="51"/>
  </r>
  <r>
    <x v="2"/>
    <s v="SKU23"/>
    <n v="4.3243411858641601"/>
    <n v="30"/>
    <n v="391"/>
    <n v="8858.3675710114803"/>
    <s v="Unknown"/>
    <n v="84"/>
    <n v="5"/>
    <n v="29"/>
    <n v="7"/>
    <s v="Carrier A"/>
    <n v="2.92485760114555"/>
    <s v="Supplier 5"/>
    <s v="Kolkata"/>
    <n v="11"/>
    <n v="568"/>
    <n v="29"/>
    <n v="98.6099572427038"/>
    <s v="Pending"/>
    <n v="1.3422915627227301"/>
    <s v="Rail"/>
    <s v="Route A"/>
    <n v="196.329446112412"/>
    <n v="45"/>
  </r>
  <r>
    <x v="0"/>
    <s v="SKU24"/>
    <n v="4.1563083593111001"/>
    <n v="32"/>
    <n v="209"/>
    <n v="9049.0778609398894"/>
    <s v="Male"/>
    <n v="4"/>
    <n v="26"/>
    <n v="2"/>
    <n v="8"/>
    <s v="Carrier C"/>
    <n v="9.7412916892843597"/>
    <s v="Supplier 2"/>
    <s v="Bangalore"/>
    <n v="28"/>
    <n v="447"/>
    <n v="3"/>
    <n v="40.382359702924802"/>
    <s v="Pending"/>
    <n v="3.69131029262872"/>
    <s v="Air"/>
    <s v="Route A"/>
    <n v="758.72477260293795"/>
    <n v="57"/>
  </r>
  <r>
    <x v="0"/>
    <s v="SKU25"/>
    <n v="39.629343985092603"/>
    <n v="73"/>
    <n v="142"/>
    <n v="2174.7770543506499"/>
    <s v="Male"/>
    <n v="82"/>
    <n v="11"/>
    <n v="52"/>
    <n v="3"/>
    <s v="Carrier C"/>
    <n v="2.2310736812817198"/>
    <s v="Supplier 4"/>
    <s v="Kolkata"/>
    <n v="19"/>
    <n v="934"/>
    <n v="23"/>
    <n v="78.280383118415301"/>
    <s v="Pending"/>
    <n v="3.79723121711418"/>
    <s v="Road"/>
    <s v="Route B"/>
    <n v="458.53594573920901"/>
    <n v="53"/>
  </r>
  <r>
    <x v="0"/>
    <s v="SKU26"/>
    <n v="97.446946617892806"/>
    <n v="9"/>
    <n v="353"/>
    <n v="3716.49332589403"/>
    <s v="Male"/>
    <n v="59"/>
    <n v="16"/>
    <n v="48"/>
    <n v="4"/>
    <s v="Carrier B"/>
    <n v="6.5075486210785503"/>
    <s v="Supplier 2"/>
    <s v="Bangalore"/>
    <n v="26"/>
    <n v="171"/>
    <n v="4"/>
    <n v="15.972229757181699"/>
    <s v="Pass"/>
    <n v="2.1193197367249201"/>
    <s v="Rail"/>
    <s v="Route A"/>
    <n v="617.86691645837698"/>
    <n v="46"/>
  </r>
  <r>
    <x v="2"/>
    <s v="SKU27"/>
    <n v="92.557360812401996"/>
    <n v="42"/>
    <n v="352"/>
    <n v="2686.4572235759802"/>
    <s v="Unknown"/>
    <n v="47"/>
    <n v="9"/>
    <n v="62"/>
    <n v="8"/>
    <s v="Carrier C"/>
    <n v="7.4067509529980704"/>
    <s v="Supplier 5"/>
    <s v="Mumbai"/>
    <n v="25"/>
    <n v="291"/>
    <n v="4"/>
    <n v="10.5282450700421"/>
    <s v="Fail"/>
    <n v="2.8646678378833701"/>
    <s v="Sea"/>
    <s v="Route B"/>
    <n v="762.45918215568304"/>
    <n v="38"/>
  </r>
  <r>
    <x v="2"/>
    <s v="SKU28"/>
    <n v="2.3972747055971402"/>
    <n v="12"/>
    <n v="394"/>
    <n v="6117.3246150839896"/>
    <s v="Female"/>
    <n v="48"/>
    <n v="15"/>
    <n v="24"/>
    <n v="4"/>
    <s v="Carrier B"/>
    <n v="9.8981405080692202"/>
    <s v="Supplier 1"/>
    <s v="Mumbai"/>
    <n v="13"/>
    <n v="171"/>
    <n v="7"/>
    <n v="59.429381810691503"/>
    <s v="Fail"/>
    <n v="0.81575707929567198"/>
    <s v="Air"/>
    <s v="Route A"/>
    <n v="123.437027511827"/>
    <n v="35"/>
  </r>
  <r>
    <x v="2"/>
    <s v="SKU29"/>
    <n v="63.447559185207297"/>
    <n v="3"/>
    <n v="253"/>
    <n v="8318.9031946171708"/>
    <s v="Female"/>
    <n v="45"/>
    <n v="5"/>
    <n v="67"/>
    <n v="7"/>
    <s v="Carrier B"/>
    <n v="8.1009731453970293"/>
    <s v="Supplier 1"/>
    <s v="Kolkata"/>
    <n v="16"/>
    <n v="329"/>
    <n v="7"/>
    <n v="39.292875586065698"/>
    <s v="Pass"/>
    <n v="3.8780989365884802"/>
    <s v="Road"/>
    <s v="Route B"/>
    <n v="764.93537594070801"/>
    <n v="28"/>
  </r>
  <r>
    <x v="0"/>
    <s v="SKU30"/>
    <n v="8.0228592105263896"/>
    <n v="10"/>
    <n v="327"/>
    <n v="2766.3423668660798"/>
    <s v="Male"/>
    <n v="60"/>
    <n v="26"/>
    <n v="35"/>
    <n v="7"/>
    <s v="Carrier B"/>
    <n v="8.9545283153180097"/>
    <s v="Supplier 4"/>
    <s v="Kolkata"/>
    <n v="27"/>
    <n v="806"/>
    <n v="30"/>
    <n v="51.634893400109299"/>
    <s v="Pending"/>
    <n v="0.96539470535239302"/>
    <s v="Road"/>
    <s v="Route C"/>
    <n v="880.08098824716103"/>
    <n v="83"/>
  </r>
  <r>
    <x v="1"/>
    <s v="SKU31"/>
    <n v="50.847393051718697"/>
    <n v="28"/>
    <n v="168"/>
    <n v="9655.1351027193905"/>
    <s v="Male"/>
    <n v="6"/>
    <n v="17"/>
    <n v="44"/>
    <n v="4"/>
    <s v="Carrier B"/>
    <n v="2.6796609649813998"/>
    <s v="Supplier 3"/>
    <s v="Chennai"/>
    <n v="24"/>
    <n v="461"/>
    <n v="8"/>
    <n v="60.251145661598002"/>
    <s v="Pending"/>
    <n v="2.9890000066550702"/>
    <s v="Rail"/>
    <s v="Route C"/>
    <n v="609.379206618426"/>
    <n v="49"/>
  </r>
  <r>
    <x v="1"/>
    <s v="SKU32"/>
    <n v="79.209936015656695"/>
    <n v="43"/>
    <n v="781"/>
    <n v="9571.5504873278096"/>
    <s v="Unknown"/>
    <n v="89"/>
    <n v="13"/>
    <n v="64"/>
    <n v="4"/>
    <s v="Carrier C"/>
    <n v="6.5991049012385803"/>
    <s v="Supplier 3"/>
    <s v="Kolkata"/>
    <n v="30"/>
    <n v="737"/>
    <n v="7"/>
    <n v="29.6924671537497"/>
    <s v="Pass"/>
    <n v="1.94603611938611"/>
    <s v="Road"/>
    <s v="Route A"/>
    <n v="761.17390951487698"/>
    <n v="50"/>
  </r>
  <r>
    <x v="2"/>
    <s v="SKU33"/>
    <n v="64.795435000155607"/>
    <n v="63"/>
    <n v="616"/>
    <n v="5149.9983504080301"/>
    <s v="Non-binary"/>
    <n v="4"/>
    <n v="17"/>
    <n v="95"/>
    <n v="9"/>
    <s v="Carrier C"/>
    <n v="4.85827050343664"/>
    <s v="Supplier 5"/>
    <s v="Chennai"/>
    <n v="1"/>
    <n v="251"/>
    <n v="23"/>
    <n v="23.853427512896101"/>
    <s v="Fail"/>
    <n v="3.54104601225092"/>
    <s v="Sea"/>
    <s v="Route A"/>
    <n v="371.25529551987103"/>
    <n v="41"/>
  </r>
  <r>
    <x v="1"/>
    <s v="SKU34"/>
    <n v="37.467592329842397"/>
    <n v="96"/>
    <n v="602"/>
    <n v="9061.7108955077201"/>
    <s v="Unknown"/>
    <n v="1"/>
    <n v="26"/>
    <n v="21"/>
    <n v="7"/>
    <s v="Carrier A"/>
    <n v="1.0194875708221101"/>
    <s v="Supplier 1"/>
    <s v="Chennai"/>
    <n v="4"/>
    <n v="452"/>
    <n v="10"/>
    <n v="10.754272815029299"/>
    <s v="Pass"/>
    <n v="0.64660455937205397"/>
    <s v="Road"/>
    <s v="Route B"/>
    <n v="510.35800043352299"/>
    <n v="40"/>
  </r>
  <r>
    <x v="2"/>
    <s v="SKU35"/>
    <n v="84.957786816350406"/>
    <n v="11"/>
    <n v="449"/>
    <n v="6541.3293448024597"/>
    <s v="Female"/>
    <n v="42"/>
    <n v="27"/>
    <n v="85"/>
    <n v="8"/>
    <s v="Carrier C"/>
    <n v="5.2881899903273997"/>
    <s v="Supplier 1"/>
    <s v="Delhi"/>
    <n v="3"/>
    <n v="367"/>
    <n v="2"/>
    <n v="58.004787044743701"/>
    <s v="Pass"/>
    <n v="0.54115409806058101"/>
    <s v="Sea"/>
    <s v="Route C"/>
    <n v="553.42047123035502"/>
    <n v="32"/>
  </r>
  <r>
    <x v="1"/>
    <s v="SKU36"/>
    <n v="9.81300257875405"/>
    <n v="34"/>
    <n v="963"/>
    <n v="7573.4024578487297"/>
    <s v="Female"/>
    <n v="18"/>
    <n v="23"/>
    <n v="28"/>
    <n v="3"/>
    <s v="Carrier B"/>
    <n v="2.1079512671590801"/>
    <s v="Supplier 2"/>
    <s v="Delhi"/>
    <n v="26"/>
    <n v="671"/>
    <n v="19"/>
    <n v="45.531364237162101"/>
    <s v="Fail"/>
    <n v="3.8055333792433501"/>
    <s v="Air"/>
    <s v="Route C"/>
    <n v="403.80897424817999"/>
    <n v="68"/>
  </r>
  <r>
    <x v="1"/>
    <s v="SKU37"/>
    <n v="23.3998447526143"/>
    <n v="5"/>
    <n v="963"/>
    <n v="2438.3399304700201"/>
    <s v="Female"/>
    <n v="25"/>
    <n v="8"/>
    <n v="21"/>
    <n v="9"/>
    <s v="Carrier A"/>
    <n v="1.53265527359043"/>
    <s v="Supplier 3"/>
    <s v="Kolkata"/>
    <n v="24"/>
    <n v="867"/>
    <n v="15"/>
    <n v="34.343277465075303"/>
    <s v="Pending"/>
    <n v="2.61028808484811"/>
    <s v="Sea"/>
    <s v="Route A"/>
    <n v="183.932968043594"/>
    <n v="47"/>
  </r>
  <r>
    <x v="2"/>
    <s v="SKU38"/>
    <n v="52.075930682707799"/>
    <n v="75"/>
    <n v="705"/>
    <n v="9692.3180402184298"/>
    <s v="Non-binary"/>
    <n v="69"/>
    <n v="1"/>
    <n v="88"/>
    <n v="5"/>
    <s v="Carrier B"/>
    <n v="9.2359314372492207"/>
    <s v="Supplier 5"/>
    <s v="Mumbai"/>
    <n v="10"/>
    <n v="841"/>
    <n v="12"/>
    <n v="5.9306936455283097"/>
    <s v="Pending"/>
    <n v="0.613326899164507"/>
    <s v="Air"/>
    <s v="Route B"/>
    <n v="339.67286994860598"/>
    <n v="23"/>
  </r>
  <r>
    <x v="1"/>
    <s v="SKU39"/>
    <n v="19.127477265823199"/>
    <n v="26"/>
    <n v="176"/>
    <n v="1912.4656631007599"/>
    <s v="Female"/>
    <n v="78"/>
    <n v="29"/>
    <n v="34"/>
    <n v="3"/>
    <s v="Carrier A"/>
    <n v="5.5625037788303802"/>
    <s v="Supplier 2"/>
    <s v="Kolkata"/>
    <n v="30"/>
    <n v="791"/>
    <n v="6"/>
    <n v="9.0058074287816403"/>
    <s v="Fail"/>
    <n v="1.4519722039968099"/>
    <s v="Air"/>
    <s v="Route B"/>
    <n v="653.67299455203295"/>
    <n v="65"/>
  </r>
  <r>
    <x v="1"/>
    <s v="SKU40"/>
    <n v="80.541424170940303"/>
    <n v="97"/>
    <n v="933"/>
    <n v="5724.9593504562599"/>
    <s v="Female"/>
    <n v="90"/>
    <n v="20"/>
    <n v="39"/>
    <n v="8"/>
    <s v="Carrier C"/>
    <n v="7.2295951397364702"/>
    <s v="Supplier 1"/>
    <s v="Kolkata"/>
    <n v="18"/>
    <n v="793"/>
    <n v="1"/>
    <n v="88.179407104217404"/>
    <s v="Pending"/>
    <n v="4.2132694305865597"/>
    <s v="Road"/>
    <s v="Route A"/>
    <n v="529.80872398069096"/>
    <n v="39"/>
  </r>
  <r>
    <x v="1"/>
    <s v="SKU41"/>
    <n v="99.113291615317095"/>
    <n v="35"/>
    <n v="556"/>
    <n v="5521.2052590109697"/>
    <s v="Female"/>
    <n v="64"/>
    <n v="19"/>
    <n v="38"/>
    <n v="8"/>
    <s v="Carrier B"/>
    <n v="5.7732637437666501"/>
    <s v="Supplier 4"/>
    <s v="Chennai"/>
    <n v="18"/>
    <n v="892"/>
    <n v="7"/>
    <n v="95.332064548772493"/>
    <s v="Fail"/>
    <n v="4.5302262398259602E-2"/>
    <s v="Sea"/>
    <s v="Route A"/>
    <n v="275.52437113130901"/>
    <n v="44"/>
  </r>
  <r>
    <x v="1"/>
    <s v="SKU42"/>
    <n v="46.529167614516702"/>
    <n v="98"/>
    <n v="155"/>
    <n v="1839.60942585676"/>
    <s v="Female"/>
    <n v="22"/>
    <n v="27"/>
    <n v="57"/>
    <n v="4"/>
    <s v="Carrier C"/>
    <n v="7.5262483268515004"/>
    <s v="Supplier 5"/>
    <s v="Bangalore"/>
    <n v="26"/>
    <n v="179"/>
    <n v="7"/>
    <n v="96.422820639571796"/>
    <s v="Fail"/>
    <n v="4.9392552886209398"/>
    <s v="Road"/>
    <s v="Route A"/>
    <n v="635.65712050199102"/>
    <n v="60"/>
  </r>
  <r>
    <x v="0"/>
    <s v="SKU43"/>
    <n v="11.7432717763092"/>
    <n v="6"/>
    <n v="598"/>
    <n v="5737.4255991190203"/>
    <s v="Unknown"/>
    <n v="36"/>
    <n v="29"/>
    <n v="85"/>
    <n v="9"/>
    <s v="Carrier B"/>
    <n v="3.6940212683884499"/>
    <s v="Supplier 5"/>
    <s v="Mumbai"/>
    <n v="1"/>
    <n v="206"/>
    <n v="23"/>
    <n v="26.2773659573324"/>
    <s v="Pending"/>
    <n v="0.37230476798509698"/>
    <s v="Air"/>
    <s v="Route A"/>
    <n v="716.04411975933999"/>
    <n v="53"/>
  </r>
  <r>
    <x v="2"/>
    <s v="SKU44"/>
    <n v="51.355790913110297"/>
    <n v="34"/>
    <n v="919"/>
    <n v="7152.28604943551"/>
    <s v="Female"/>
    <n v="13"/>
    <n v="19"/>
    <n v="72"/>
    <n v="6"/>
    <s v="Carrier C"/>
    <n v="7.5774496573766896"/>
    <s v="Supplier 2"/>
    <s v="Delhi"/>
    <n v="7"/>
    <n v="834"/>
    <n v="18"/>
    <n v="22.554106620887701"/>
    <s v="Fail"/>
    <n v="2.9626263204548802"/>
    <s v="Rail"/>
    <s v="Route A"/>
    <n v="610.45326961922694"/>
    <n v="44"/>
  </r>
  <r>
    <x v="0"/>
    <s v="SKU45"/>
    <n v="33.784138033065503"/>
    <n v="1"/>
    <n v="24"/>
    <n v="5267.9568075105199"/>
    <s v="Male"/>
    <n v="93"/>
    <n v="7"/>
    <n v="52"/>
    <n v="6"/>
    <s v="Carrier B"/>
    <n v="5.2151550087119096"/>
    <s v="Supplier 2"/>
    <s v="Chennai"/>
    <n v="25"/>
    <n v="794"/>
    <n v="25"/>
    <n v="66.312544439991598"/>
    <s v="Pass"/>
    <n v="3.2196046120841002"/>
    <s v="Rail"/>
    <s v="Route A"/>
    <n v="495.30569702847299"/>
    <n v="57"/>
  </r>
  <r>
    <x v="0"/>
    <s v="SKU46"/>
    <n v="27.082207199888899"/>
    <n v="75"/>
    <n v="859"/>
    <n v="2556.7673606335902"/>
    <s v="Non-binary"/>
    <n v="92"/>
    <n v="29"/>
    <n v="6"/>
    <n v="8"/>
    <s v="Carrier B"/>
    <n v="4.0709558370840799"/>
    <s v="Supplier 3"/>
    <s v="Chennai"/>
    <n v="18"/>
    <n v="870"/>
    <n v="23"/>
    <n v="77.322353211051606"/>
    <s v="Pending"/>
    <n v="3.6486105925361998"/>
    <s v="Road"/>
    <s v="Route B"/>
    <n v="380.43593711196399"/>
    <n v="70"/>
  </r>
  <r>
    <x v="1"/>
    <s v="SKU47"/>
    <n v="95.712135880936003"/>
    <n v="93"/>
    <n v="910"/>
    <n v="7089.4742499341801"/>
    <s v="Male"/>
    <n v="4"/>
    <n v="15"/>
    <n v="51"/>
    <n v="9"/>
    <s v="Carrier B"/>
    <n v="8.9787507559499709"/>
    <s v="Supplier 1"/>
    <s v="Kolkata"/>
    <n v="10"/>
    <n v="964"/>
    <n v="20"/>
    <n v="19.7129929112936"/>
    <s v="Pending"/>
    <n v="0.38057358671321301"/>
    <s v="Rail"/>
    <s v="Route A"/>
    <n v="581.60235505058597"/>
    <n v="45"/>
  </r>
  <r>
    <x v="0"/>
    <s v="SKU48"/>
    <n v="76.035544426891704"/>
    <n v="28"/>
    <n v="29"/>
    <n v="7397.0710045871801"/>
    <s v="Non-binary"/>
    <n v="30"/>
    <n v="16"/>
    <n v="9"/>
    <n v="3"/>
    <s v="Carrier C"/>
    <n v="7.0958331565551296"/>
    <s v="Supplier 2"/>
    <s v="Mumbai"/>
    <n v="9"/>
    <n v="109"/>
    <n v="18"/>
    <n v="23.126363582464698"/>
    <s v="Fail"/>
    <n v="1.6981125407144"/>
    <s v="Rail"/>
    <s v="Route B"/>
    <n v="768.65191395437"/>
    <n v="43"/>
  </r>
  <r>
    <x v="2"/>
    <s v="SKU49"/>
    <n v="78.897913205639995"/>
    <n v="19"/>
    <n v="99"/>
    <n v="8001.6132065190004"/>
    <s v="Unknown"/>
    <n v="97"/>
    <n v="24"/>
    <n v="9"/>
    <n v="6"/>
    <s v="Carrier C"/>
    <n v="2.5056210329009101"/>
    <s v="Supplier 5"/>
    <s v="Delhi"/>
    <n v="28"/>
    <n v="177"/>
    <n v="28"/>
    <n v="14.1478154439792"/>
    <s v="Pass"/>
    <n v="2.8258139854001301"/>
    <s v="Rail"/>
    <s v="Route A"/>
    <n v="336.89016851997701"/>
    <n v="80"/>
  </r>
  <r>
    <x v="2"/>
    <s v="SKU50"/>
    <n v="14.203484264803"/>
    <n v="91"/>
    <n v="633"/>
    <n v="5910.8853896688897"/>
    <s v="Female"/>
    <n v="31"/>
    <n v="23"/>
    <n v="82"/>
    <n v="10"/>
    <s v="Carrier A"/>
    <n v="6.2478609149759903"/>
    <s v="Supplier 2"/>
    <s v="Delhi"/>
    <n v="20"/>
    <n v="306"/>
    <n v="21"/>
    <n v="45.178757924634503"/>
    <s v="Fail"/>
    <n v="4.7548008046711798"/>
    <s v="Rail"/>
    <s v="Route B"/>
    <n v="496.24865029194001"/>
    <n v="64"/>
  </r>
  <r>
    <x v="0"/>
    <s v="SKU51"/>
    <n v="26.700760972461701"/>
    <n v="61"/>
    <n v="154"/>
    <n v="9866.4654579796897"/>
    <s v="Male"/>
    <n v="100"/>
    <n v="4"/>
    <n v="52"/>
    <n v="1"/>
    <s v="Carrier A"/>
    <n v="4.78300055794766"/>
    <s v="Supplier 5"/>
    <s v="Bangalore"/>
    <n v="18"/>
    <n v="673"/>
    <n v="28"/>
    <n v="14.190328344569901"/>
    <s v="Pending"/>
    <n v="1.77295117208355"/>
    <s v="Road"/>
    <s v="Route A"/>
    <n v="694.98231757944495"/>
    <n v="50"/>
  </r>
  <r>
    <x v="1"/>
    <s v="SKU52"/>
    <n v="98.031829656465007"/>
    <n v="1"/>
    <n v="820"/>
    <n v="9435.7626089121295"/>
    <s v="Male"/>
    <n v="64"/>
    <n v="11"/>
    <n v="11"/>
    <n v="1"/>
    <s v="Carrier B"/>
    <n v="8.6310521797689397"/>
    <s v="Supplier 1"/>
    <s v="Mumbai"/>
    <n v="10"/>
    <n v="727"/>
    <n v="27"/>
    <n v="9.1668491485971497"/>
    <s v="Pending"/>
    <n v="2.1224716191438202"/>
    <s v="Air"/>
    <s v="Route C"/>
    <n v="602.89849883838303"/>
    <n v="48"/>
  </r>
  <r>
    <x v="1"/>
    <s v="SKU53"/>
    <n v="30.3414707112142"/>
    <n v="93"/>
    <n v="242"/>
    <n v="8232.3348294258194"/>
    <s v="Male"/>
    <n v="96"/>
    <n v="25"/>
    <n v="54"/>
    <n v="3"/>
    <s v="Carrier B"/>
    <n v="1.0134865660958901"/>
    <s v="Supplier 1"/>
    <s v="Delhi"/>
    <n v="1"/>
    <n v="631"/>
    <n v="17"/>
    <n v="83.344058991677898"/>
    <s v="Pending"/>
    <n v="1.41034757607602"/>
    <s v="Air"/>
    <s v="Route B"/>
    <n v="750.73784066827"/>
    <n v="43"/>
  </r>
  <r>
    <x v="0"/>
    <s v="SKU54"/>
    <n v="31.1462431602408"/>
    <n v="11"/>
    <n v="622"/>
    <n v="6088.0214799408504"/>
    <s v="Non-binary"/>
    <n v="33"/>
    <n v="22"/>
    <n v="61"/>
    <n v="3"/>
    <s v="Carrier B"/>
    <n v="4.3051034712876302"/>
    <s v="Supplier 1"/>
    <s v="Kolkata"/>
    <n v="26"/>
    <n v="497"/>
    <n v="29"/>
    <n v="30.186023375822501"/>
    <s v="Pass"/>
    <n v="2.4787719755397402"/>
    <s v="Road"/>
    <s v="Route B"/>
    <n v="814.06999658218695"/>
    <n v="77"/>
  </r>
  <r>
    <x v="0"/>
    <s v="SKU55"/>
    <n v="79.855058340789398"/>
    <n v="16"/>
    <n v="701"/>
    <n v="2925.6751703038099"/>
    <s v="Male"/>
    <n v="97"/>
    <n v="11"/>
    <n v="11"/>
    <n v="5"/>
    <s v="Carrier A"/>
    <n v="5.0143649550309002"/>
    <s v="Supplier 2"/>
    <s v="Delhi"/>
    <n v="27"/>
    <n v="918"/>
    <n v="5"/>
    <n v="30.323545256616502"/>
    <s v="Fail"/>
    <n v="4.5489196593963799"/>
    <s v="Sea"/>
    <s v="Route B"/>
    <n v="323.01292795247798"/>
    <n v="43"/>
  </r>
  <r>
    <x v="1"/>
    <s v="SKU56"/>
    <n v="20.9863860370433"/>
    <n v="90"/>
    <n v="93"/>
    <n v="4767.0204843441297"/>
    <s v="Non-binary"/>
    <n v="25"/>
    <n v="23"/>
    <n v="83"/>
    <n v="5"/>
    <s v="Carrier C"/>
    <n v="1.77442971407173"/>
    <s v="Supplier 1"/>
    <s v="Mumbai"/>
    <n v="24"/>
    <n v="826"/>
    <n v="28"/>
    <n v="12.8362845728327"/>
    <s v="Pass"/>
    <n v="1.1737554953874501"/>
    <s v="Air"/>
    <s v="Route B"/>
    <n v="832.210808706021"/>
    <n v="75"/>
  </r>
  <r>
    <x v="0"/>
    <s v="SKU57"/>
    <n v="49.263205350734097"/>
    <n v="65"/>
    <n v="227"/>
    <n v="1605.8669003924001"/>
    <s v="Unknown"/>
    <n v="5"/>
    <n v="18"/>
    <n v="51"/>
    <n v="1"/>
    <s v="Carrier B"/>
    <n v="9.1605585353818704"/>
    <s v="Supplier 2"/>
    <s v="Delhi"/>
    <n v="21"/>
    <n v="588"/>
    <n v="25"/>
    <n v="67.779622987078099"/>
    <s v="Pending"/>
    <n v="2.5111748302126999"/>
    <s v="Rail"/>
    <s v="Route A"/>
    <n v="482.19123860252802"/>
    <n v="64"/>
  </r>
  <r>
    <x v="1"/>
    <s v="SKU58"/>
    <n v="59.841561377289302"/>
    <n v="81"/>
    <n v="896"/>
    <n v="2021.1498103371"/>
    <s v="Non-binary"/>
    <n v="10"/>
    <n v="5"/>
    <n v="44"/>
    <n v="7"/>
    <s v="Carrier A"/>
    <n v="4.9384385647120901"/>
    <s v="Supplier 3"/>
    <s v="Delhi"/>
    <n v="18"/>
    <n v="396"/>
    <n v="7"/>
    <n v="65.047415094691402"/>
    <s v="Fail"/>
    <n v="1.7303747198591899"/>
    <s v="Road"/>
    <s v="Route B"/>
    <n v="110.364335231364"/>
    <n v="30"/>
  </r>
  <r>
    <x v="2"/>
    <s v="SKU59"/>
    <n v="63.828398347710902"/>
    <n v="30"/>
    <n v="484"/>
    <n v="1061.6185230132801"/>
    <s v="Non-binary"/>
    <n v="100"/>
    <n v="16"/>
    <n v="26"/>
    <n v="7"/>
    <s v="Carrier B"/>
    <n v="7.2937225968677204"/>
    <s v="Supplier 1"/>
    <s v="Kolkata"/>
    <n v="11"/>
    <n v="176"/>
    <n v="4"/>
    <n v="1.90076224351945"/>
    <s v="Fail"/>
    <n v="0.44719401546382298"/>
    <s v="Air"/>
    <s v="Route A"/>
    <n v="312.57427361009297"/>
    <n v="31"/>
  </r>
  <r>
    <x v="1"/>
    <s v="SKU60"/>
    <n v="17.028027920188698"/>
    <n v="16"/>
    <n v="380"/>
    <n v="8864.0843495864301"/>
    <s v="Female"/>
    <n v="41"/>
    <n v="27"/>
    <n v="72"/>
    <n v="8"/>
    <s v="Carrier C"/>
    <n v="4.3813681581023101"/>
    <s v="Supplier 4"/>
    <s v="Mumbai"/>
    <n v="29"/>
    <n v="929"/>
    <n v="24"/>
    <n v="87.213057815135599"/>
    <s v="Fail"/>
    <n v="2.8530906166490499"/>
    <s v="Rail"/>
    <s v="Route A"/>
    <n v="430.16909697513597"/>
    <n v="80"/>
  </r>
  <r>
    <x v="0"/>
    <s v="SKU61"/>
    <n v="52.028749903294901"/>
    <n v="23"/>
    <n v="117"/>
    <n v="6885.5893508962499"/>
    <s v="Unknown"/>
    <n v="32"/>
    <n v="23"/>
    <n v="36"/>
    <n v="7"/>
    <s v="Carrier C"/>
    <n v="9.0303404225219399"/>
    <s v="Supplier 4"/>
    <s v="Kolkata"/>
    <n v="14"/>
    <n v="480"/>
    <n v="12"/>
    <n v="78.702393968878894"/>
    <s v="Fail"/>
    <n v="4.3674705382050503"/>
    <s v="Air"/>
    <s v="Route A"/>
    <n v="164.366528243419"/>
    <n v="49"/>
  </r>
  <r>
    <x v="2"/>
    <s v="SKU62"/>
    <n v="72.796353955587307"/>
    <n v="89"/>
    <n v="270"/>
    <n v="3899.7468337292198"/>
    <s v="Unknown"/>
    <n v="86"/>
    <n v="2"/>
    <n v="40"/>
    <n v="7"/>
    <s v="Carrier C"/>
    <n v="7.2917013887767697"/>
    <s v="Supplier 2"/>
    <s v="Mumbai"/>
    <n v="13"/>
    <n v="751"/>
    <n v="14"/>
    <n v="21.048642725168602"/>
    <s v="Pass"/>
    <n v="1.87400140404437"/>
    <s v="Sea"/>
    <s v="Route C"/>
    <n v="320.84651575911101"/>
    <n v="29"/>
  </r>
  <r>
    <x v="1"/>
    <s v="SKU63"/>
    <n v="13.0173767852878"/>
    <n v="55"/>
    <n v="246"/>
    <n v="4256.9491408502199"/>
    <s v="Non-binary"/>
    <n v="54"/>
    <n v="19"/>
    <n v="10"/>
    <n v="4"/>
    <s v="Carrier A"/>
    <n v="2.45793352798733"/>
    <s v="Supplier 3"/>
    <s v="Bangalore"/>
    <n v="18"/>
    <n v="736"/>
    <n v="10"/>
    <n v="20.075003975630398"/>
    <s v="Pending"/>
    <n v="3.6328432903821302"/>
    <s v="Sea"/>
    <s v="Route A"/>
    <n v="687.28617786641701"/>
    <n v="47"/>
  </r>
  <r>
    <x v="1"/>
    <s v="SKU64"/>
    <n v="89.634095608135297"/>
    <n v="11"/>
    <n v="134"/>
    <n v="8458.7308783671706"/>
    <s v="Female"/>
    <n v="73"/>
    <n v="27"/>
    <n v="75"/>
    <n v="6"/>
    <s v="Carrier C"/>
    <n v="4.5853534681946497"/>
    <s v="Supplier 1"/>
    <s v="Delhi"/>
    <n v="17"/>
    <n v="328"/>
    <n v="6"/>
    <n v="8.6930424258772803"/>
    <s v="Fail"/>
    <n v="0.15948631471751401"/>
    <s v="Air"/>
    <s v="Route C"/>
    <n v="771.225084681157"/>
    <n v="50"/>
  </r>
  <r>
    <x v="1"/>
    <s v="SKU65"/>
    <n v="33.697717206643098"/>
    <n v="72"/>
    <n v="457"/>
    <n v="8354.5796864819895"/>
    <s v="Male"/>
    <n v="57"/>
    <n v="24"/>
    <n v="54"/>
    <n v="8"/>
    <s v="Carrier C"/>
    <n v="6.5805413478845898"/>
    <s v="Supplier 5"/>
    <s v="Kolkata"/>
    <n v="16"/>
    <n v="358"/>
    <n v="21"/>
    <n v="1.59722274305067"/>
    <s v="Fail"/>
    <n v="4.9110959548423301"/>
    <s v="Rail"/>
    <s v="Route C"/>
    <n v="555.85910367174301"/>
    <n v="61"/>
  </r>
  <r>
    <x v="1"/>
    <s v="SKU66"/>
    <n v="26.034869773962001"/>
    <n v="52"/>
    <n v="704"/>
    <n v="8367.7216180201503"/>
    <s v="Female"/>
    <n v="13"/>
    <n v="17"/>
    <n v="19"/>
    <n v="8"/>
    <s v="Carrier A"/>
    <n v="2.2161427287713602"/>
    <s v="Supplier 5"/>
    <s v="Kolkata"/>
    <n v="24"/>
    <n v="867"/>
    <n v="28"/>
    <n v="42.084436738309897"/>
    <s v="Fail"/>
    <n v="3.44806328834026"/>
    <s v="Road"/>
    <s v="Route A"/>
    <n v="393.84334857842703"/>
    <n v="69"/>
  </r>
  <r>
    <x v="1"/>
    <s v="SKU67"/>
    <n v="87.755432354001002"/>
    <n v="16"/>
    <n v="513"/>
    <n v="9473.7980325083299"/>
    <s v="Unknown"/>
    <n v="12"/>
    <n v="9"/>
    <n v="71"/>
    <n v="9"/>
    <s v="Carrier C"/>
    <n v="9.1478115447106294"/>
    <s v="Supplier 1"/>
    <s v="Mumbai"/>
    <n v="10"/>
    <n v="198"/>
    <n v="11"/>
    <n v="7.0578761469782298"/>
    <s v="Pass"/>
    <n v="0.131955444311814"/>
    <s v="Sea"/>
    <s v="Route C"/>
    <n v="169.27180138478599"/>
    <n v="30"/>
  </r>
  <r>
    <x v="0"/>
    <s v="SKU68"/>
    <n v="37.931812382790298"/>
    <n v="29"/>
    <n v="163"/>
    <n v="3550.21843278099"/>
    <s v="Non-binary"/>
    <n v="0"/>
    <n v="8"/>
    <n v="58"/>
    <n v="8"/>
    <s v="Carrier B"/>
    <n v="1.19425186488499"/>
    <s v="Supplier 2"/>
    <s v="Bangalore"/>
    <n v="2"/>
    <n v="375"/>
    <n v="18"/>
    <n v="97.113581563462205"/>
    <s v="Fail"/>
    <n v="1.9834678721741801"/>
    <s v="Rail"/>
    <s v="Route A"/>
    <n v="299.70630311810299"/>
    <n v="28"/>
  </r>
  <r>
    <x v="1"/>
    <s v="SKU69"/>
    <n v="54.865528517069698"/>
    <n v="62"/>
    <n v="511"/>
    <n v="1752.3810874841199"/>
    <s v="Non-binary"/>
    <n v="95"/>
    <n v="1"/>
    <n v="27"/>
    <n v="3"/>
    <s v="Carrier B"/>
    <n v="9.7052867901203399"/>
    <s v="Supplier 4"/>
    <s v="Kolkata"/>
    <n v="9"/>
    <n v="862"/>
    <n v="7"/>
    <n v="77.627765812748095"/>
    <s v="Pending"/>
    <n v="1.3623879886490999"/>
    <s v="Air"/>
    <s v="Route A"/>
    <n v="207.66320620857499"/>
    <n v="17"/>
  </r>
  <r>
    <x v="0"/>
    <s v="SKU70"/>
    <n v="47.914541824058702"/>
    <n v="90"/>
    <n v="32"/>
    <n v="7014.8879872033804"/>
    <s v="Female"/>
    <n v="10"/>
    <n v="12"/>
    <n v="22"/>
    <n v="4"/>
    <s v="Carrier B"/>
    <n v="6.3157177546007199"/>
    <s v="Supplier 1"/>
    <s v="Bangalore"/>
    <n v="22"/>
    <n v="775"/>
    <n v="16"/>
    <n v="11.440781823761199"/>
    <s v="Pass"/>
    <n v="1.8305755986122301"/>
    <s v="Road"/>
    <s v="Route C"/>
    <n v="183.27289874871099"/>
    <n v="50"/>
  </r>
  <r>
    <x v="2"/>
    <s v="SKU71"/>
    <n v="6.3815331627479601"/>
    <n v="14"/>
    <n v="637"/>
    <n v="8180.3370854254399"/>
    <s v="Female"/>
    <n v="76"/>
    <n v="2"/>
    <n v="26"/>
    <n v="6"/>
    <s v="Carrier A"/>
    <n v="9.2281903170525101"/>
    <s v="Supplier 2"/>
    <s v="Bangalore"/>
    <n v="2"/>
    <n v="258"/>
    <n v="10"/>
    <n v="30.661677477859499"/>
    <s v="Pending"/>
    <n v="2.07875060787496"/>
    <s v="Road"/>
    <s v="Route A"/>
    <n v="405.167067888855"/>
    <n v="14"/>
  </r>
  <r>
    <x v="2"/>
    <s v="SKU72"/>
    <n v="90.204427520528"/>
    <n v="88"/>
    <n v="478"/>
    <n v="2633.1219813122498"/>
    <s v="Non-binary"/>
    <n v="57"/>
    <n v="29"/>
    <n v="77"/>
    <n v="9"/>
    <s v="Carrier A"/>
    <n v="6.5996141596895397"/>
    <s v="Supplier 1"/>
    <s v="Bangalore"/>
    <n v="21"/>
    <n v="152"/>
    <n v="11"/>
    <n v="55.760492895244198"/>
    <s v="Pending"/>
    <n v="3.2133296074383"/>
    <s v="Rail"/>
    <s v="Route B"/>
    <n v="677.94456984618296"/>
    <n v="61"/>
  </r>
  <r>
    <x v="2"/>
    <s v="SKU73"/>
    <n v="83.851017681304597"/>
    <n v="41"/>
    <n v="375"/>
    <n v="7910.8869161406801"/>
    <s v="Male"/>
    <n v="17"/>
    <n v="25"/>
    <n v="66"/>
    <n v="5"/>
    <s v="Carrier B"/>
    <n v="1.5129368369160701"/>
    <s v="Supplier 4"/>
    <s v="Chennai"/>
    <n v="13"/>
    <n v="444"/>
    <n v="4"/>
    <n v="46.870238797617098"/>
    <s v="Fail"/>
    <n v="4.6205460645137002"/>
    <s v="Road"/>
    <s v="Route A"/>
    <n v="866.472800129657"/>
    <n v="42"/>
  </r>
  <r>
    <x v="0"/>
    <s v="SKU74"/>
    <n v="3.1700114135661499"/>
    <n v="64"/>
    <n v="904"/>
    <n v="5709.9452959692799"/>
    <s v="Female"/>
    <n v="41"/>
    <n v="6"/>
    <n v="1"/>
    <n v="5"/>
    <s v="Carrier A"/>
    <n v="5.2376546500374399"/>
    <s v="Supplier 4"/>
    <s v="Delhi"/>
    <n v="1"/>
    <n v="919"/>
    <n v="9"/>
    <n v="80.580852156447804"/>
    <s v="Fail"/>
    <n v="0.39661272410993498"/>
    <s v="Rail"/>
    <s v="Route A"/>
    <n v="341.55265678322297"/>
    <n v="16"/>
  </r>
  <r>
    <x v="1"/>
    <s v="SKU75"/>
    <n v="92.996884233970604"/>
    <n v="29"/>
    <n v="106"/>
    <n v="1889.07358977933"/>
    <s v="Non-binary"/>
    <n v="16"/>
    <n v="20"/>
    <n v="56"/>
    <n v="10"/>
    <s v="Carrier C"/>
    <n v="2.47389776104546"/>
    <s v="Supplier 1"/>
    <s v="Chennai"/>
    <n v="25"/>
    <n v="759"/>
    <n v="11"/>
    <n v="48.064782640006499"/>
    <s v="Pass"/>
    <n v="2.0300690886687498"/>
    <s v="Air"/>
    <s v="Route C"/>
    <n v="873.12964801765099"/>
    <n v="56"/>
  </r>
  <r>
    <x v="0"/>
    <s v="SKU76"/>
    <n v="69.108799547430294"/>
    <n v="23"/>
    <n v="241"/>
    <n v="5328.3759842977497"/>
    <s v="Male"/>
    <n v="38"/>
    <n v="1"/>
    <n v="22"/>
    <n v="10"/>
    <s v="Carrier A"/>
    <n v="7.0545383368369201"/>
    <s v="Supplier 2"/>
    <s v="Bangalore"/>
    <n v="25"/>
    <n v="985"/>
    <n v="24"/>
    <n v="64.323597795600193"/>
    <s v="Pending"/>
    <n v="2.1800374515822099"/>
    <s v="Rail"/>
    <s v="Route A"/>
    <n v="997.41345013319403"/>
    <n v="50"/>
  </r>
  <r>
    <x v="0"/>
    <s v="SKU77"/>
    <n v="57.449742958971399"/>
    <n v="14"/>
    <n v="359"/>
    <n v="2483.7601775427902"/>
    <s v="Unknown"/>
    <n v="96"/>
    <n v="28"/>
    <n v="57"/>
    <n v="4"/>
    <s v="Carrier B"/>
    <n v="6.7809466256178901"/>
    <s v="Supplier 1"/>
    <s v="Kolkata"/>
    <n v="26"/>
    <n v="334"/>
    <n v="5"/>
    <n v="42.952444748991802"/>
    <s v="Pass"/>
    <n v="3.0551418183075398"/>
    <s v="Road"/>
    <s v="Route B"/>
    <n v="852.56809891984994"/>
    <n v="59"/>
  </r>
  <r>
    <x v="0"/>
    <s v="SKU78"/>
    <n v="6.30688317611191"/>
    <n v="50"/>
    <n v="946"/>
    <n v="1292.45841793775"/>
    <s v="Unknown"/>
    <n v="5"/>
    <n v="4"/>
    <n v="51"/>
    <n v="5"/>
    <s v="Carrier B"/>
    <n v="8.4670497708619905"/>
    <s v="Supplier 5"/>
    <s v="Mumbai"/>
    <n v="25"/>
    <n v="858"/>
    <n v="21"/>
    <n v="71.126514720403307"/>
    <s v="Pending"/>
    <n v="4.0968813324704501"/>
    <s v="Sea"/>
    <s v="Route C"/>
    <n v="323.59220343132199"/>
    <n v="50"/>
  </r>
  <r>
    <x v="0"/>
    <s v="SKU79"/>
    <n v="57.057031221103202"/>
    <n v="56"/>
    <n v="198"/>
    <n v="7888.7232684270803"/>
    <s v="Non-binary"/>
    <n v="31"/>
    <n v="25"/>
    <n v="20"/>
    <n v="1"/>
    <s v="Carrier B"/>
    <n v="6.49632536429504"/>
    <s v="Supplier 3"/>
    <s v="Bangalore"/>
    <n v="5"/>
    <n v="228"/>
    <n v="12"/>
    <n v="57.870902924036201"/>
    <s v="Pending"/>
    <n v="0.16587162748060799"/>
    <s v="Air"/>
    <s v="Route C"/>
    <n v="351.50421933503799"/>
    <n v="42"/>
  </r>
  <r>
    <x v="1"/>
    <s v="SKU80"/>
    <n v="91.128318350444303"/>
    <n v="75"/>
    <n v="872"/>
    <n v="8651.67268298206"/>
    <s v="Unknown"/>
    <n v="39"/>
    <n v="14"/>
    <n v="41"/>
    <n v="2"/>
    <s v="Carrier C"/>
    <n v="2.8331846794189701"/>
    <s v="Supplier 3"/>
    <s v="Chennai"/>
    <n v="8"/>
    <n v="202"/>
    <n v="5"/>
    <n v="76.961228023819999"/>
    <s v="Fail"/>
    <n v="2.8496621985053299"/>
    <s v="Sea"/>
    <s v="Route B"/>
    <n v="787.77985049434403"/>
    <n v="27"/>
  </r>
  <r>
    <x v="0"/>
    <s v="SKU81"/>
    <n v="72.819206930318202"/>
    <n v="9"/>
    <n v="774"/>
    <n v="4384.4134000458598"/>
    <s v="Unknown"/>
    <n v="48"/>
    <n v="6"/>
    <n v="8"/>
    <n v="5"/>
    <s v="Carrier B"/>
    <n v="4.0662775015120403"/>
    <s v="Supplier 3"/>
    <s v="Delhi"/>
    <n v="28"/>
    <n v="698"/>
    <n v="1"/>
    <n v="19.789592941903599"/>
    <s v="Pending"/>
    <n v="2.54754712154871"/>
    <s v="Rail"/>
    <s v="Route B"/>
    <n v="276.77833594679799"/>
    <n v="35"/>
  </r>
  <r>
    <x v="1"/>
    <s v="SKU82"/>
    <n v="17.034930739467899"/>
    <n v="13"/>
    <n v="336"/>
    <n v="2943.3818676094502"/>
    <s v="Unknown"/>
    <n v="42"/>
    <n v="19"/>
    <n v="72"/>
    <n v="1"/>
    <s v="Carrier A"/>
    <n v="4.7081818735419301"/>
    <s v="Supplier 2"/>
    <s v="Mumbai"/>
    <n v="6"/>
    <n v="955"/>
    <n v="26"/>
    <n v="4.4652784349432402"/>
    <s v="Pending"/>
    <n v="4.1378770486223502"/>
    <s v="Road"/>
    <s v="Route C"/>
    <n v="589.97855562804"/>
    <n v="51"/>
  </r>
  <r>
    <x v="0"/>
    <s v="SKU83"/>
    <n v="68.911246211606297"/>
    <n v="82"/>
    <n v="663"/>
    <n v="2411.7546321104901"/>
    <s v="Unknown"/>
    <n v="65"/>
    <n v="24"/>
    <n v="7"/>
    <n v="8"/>
    <s v="Carrier B"/>
    <n v="4.94983957799694"/>
    <s v="Supplier 1"/>
    <s v="Bangalore"/>
    <n v="20"/>
    <n v="443"/>
    <n v="5"/>
    <n v="97.730593800533001"/>
    <s v="Fail"/>
    <n v="0.77300613406724705"/>
    <s v="Road"/>
    <s v="Route A"/>
    <n v="682.97101822609295"/>
    <n v="49"/>
  </r>
  <r>
    <x v="0"/>
    <s v="SKU84"/>
    <n v="89.104367292102197"/>
    <n v="99"/>
    <n v="618"/>
    <n v="2048.2900998487098"/>
    <s v="Unknown"/>
    <n v="73"/>
    <n v="26"/>
    <n v="80"/>
    <n v="10"/>
    <s v="Carrier A"/>
    <n v="8.3816156249226292"/>
    <s v="Supplier 5"/>
    <s v="Chennai"/>
    <n v="24"/>
    <n v="589"/>
    <n v="22"/>
    <n v="33.808636513209002"/>
    <s v="Pass"/>
    <n v="4.8434565771180402"/>
    <s v="Air"/>
    <s v="Route B"/>
    <n v="465.45700596368698"/>
    <n v="72"/>
  </r>
  <r>
    <x v="2"/>
    <s v="SKU85"/>
    <n v="76.962994415193805"/>
    <n v="83"/>
    <n v="25"/>
    <n v="8684.6130592538502"/>
    <s v="Female"/>
    <n v="15"/>
    <n v="18"/>
    <n v="66"/>
    <n v="2"/>
    <s v="Carrier C"/>
    <n v="8.2491687048717193"/>
    <s v="Supplier 5"/>
    <s v="Chennai"/>
    <n v="4"/>
    <n v="211"/>
    <n v="2"/>
    <n v="69.929345518672307"/>
    <s v="Fail"/>
    <n v="1.3744289997457499"/>
    <s v="Road"/>
    <s v="Route B"/>
    <n v="842.68683000464102"/>
    <n v="24"/>
  </r>
  <r>
    <x v="1"/>
    <s v="SKU86"/>
    <n v="19.9981769404042"/>
    <n v="18"/>
    <n v="223"/>
    <n v="1229.59102856498"/>
    <s v="Unknown"/>
    <n v="32"/>
    <n v="14"/>
    <n v="22"/>
    <n v="6"/>
    <s v="Carrier B"/>
    <n v="1.4543053101535499"/>
    <s v="Supplier 1"/>
    <s v="Mumbai"/>
    <n v="4"/>
    <n v="569"/>
    <n v="18"/>
    <n v="74.608969995194599"/>
    <s v="Pass"/>
    <n v="2.0515129307662399"/>
    <s v="Rail"/>
    <s v="Route A"/>
    <n v="264.25488983586598"/>
    <n v="36"/>
  </r>
  <r>
    <x v="0"/>
    <s v="SKU87"/>
    <n v="80.414036650355698"/>
    <n v="24"/>
    <n v="79"/>
    <n v="5133.8467010866898"/>
    <s v="Male"/>
    <n v="5"/>
    <n v="7"/>
    <n v="55"/>
    <n v="10"/>
    <s v="Carrier A"/>
    <n v="6.5758037975485299"/>
    <s v="Supplier 3"/>
    <s v="Chennai"/>
    <n v="27"/>
    <n v="523"/>
    <n v="17"/>
    <n v="28.696996824143099"/>
    <s v="Fail"/>
    <n v="3.6937377878392699"/>
    <s v="Sea"/>
    <s v="Route B"/>
    <n v="879.35921773492396"/>
    <n v="51"/>
  </r>
  <r>
    <x v="2"/>
    <s v="SKU88"/>
    <n v="75.270406975724995"/>
    <n v="58"/>
    <n v="737"/>
    <n v="9444.7420330629793"/>
    <s v="Male"/>
    <n v="60"/>
    <n v="18"/>
    <n v="85"/>
    <n v="7"/>
    <s v="Carrier A"/>
    <n v="3.8012531329310701"/>
    <s v="Supplier 2"/>
    <s v="Mumbai"/>
    <n v="21"/>
    <n v="953"/>
    <n v="11"/>
    <n v="68.1849190570411"/>
    <s v="Pending"/>
    <n v="0.722204401882931"/>
    <s v="Sea"/>
    <s v="Route A"/>
    <n v="103.916247960704"/>
    <n v="50"/>
  </r>
  <r>
    <x v="2"/>
    <s v="SKU89"/>
    <n v="97.760085581938597"/>
    <n v="10"/>
    <n v="134"/>
    <n v="5924.6825668532301"/>
    <s v="Unknown"/>
    <n v="90"/>
    <n v="1"/>
    <n v="27"/>
    <n v="8"/>
    <s v="Carrier B"/>
    <n v="9.9298162452772498"/>
    <s v="Supplier 1"/>
    <s v="Kolkata"/>
    <n v="23"/>
    <n v="370"/>
    <n v="11"/>
    <n v="46.603873381644398"/>
    <s v="Pending"/>
    <n v="1.9076657339590699"/>
    <s v="Rail"/>
    <s v="Route B"/>
    <n v="517.49997392906005"/>
    <n v="35"/>
  </r>
  <r>
    <x v="1"/>
    <s v="SKU90"/>
    <n v="13.881913501359101"/>
    <n v="56"/>
    <n v="320"/>
    <n v="9592.6335702803099"/>
    <s v="Non-binary"/>
    <n v="66"/>
    <n v="18"/>
    <n v="96"/>
    <n v="7"/>
    <s v="Carrier B"/>
    <n v="7.6744307081126903"/>
    <s v="Supplier 3"/>
    <s v="Bangalore"/>
    <n v="8"/>
    <n v="585"/>
    <n v="8"/>
    <n v="85.675963335797903"/>
    <s v="Pass"/>
    <n v="1.2193822244013801"/>
    <s v="Rail"/>
    <s v="Route B"/>
    <n v="990.07847250581096"/>
    <n v="34"/>
  </r>
  <r>
    <x v="2"/>
    <s v="SKU91"/>
    <n v="62.111965463961702"/>
    <n v="90"/>
    <n v="916"/>
    <n v="1935.20679350759"/>
    <s v="Male"/>
    <n v="98"/>
    <n v="22"/>
    <n v="85"/>
    <n v="7"/>
    <s v="Carrier B"/>
    <n v="7.4715140844011403"/>
    <s v="Supplier 4"/>
    <s v="Delhi"/>
    <n v="5"/>
    <n v="207"/>
    <n v="28"/>
    <n v="39.772882502339897"/>
    <s v="Pending"/>
    <n v="0.62600185820939402"/>
    <s v="Rail"/>
    <s v="Route B"/>
    <n v="996.77831495062298"/>
    <n v="55"/>
  </r>
  <r>
    <x v="2"/>
    <s v="SKU92"/>
    <n v="47.714233075820196"/>
    <n v="44"/>
    <n v="276"/>
    <n v="2100.1297546259302"/>
    <s v="Male"/>
    <n v="90"/>
    <n v="25"/>
    <n v="10"/>
    <n v="8"/>
    <s v="Carrier B"/>
    <n v="4.4695000261236002"/>
    <s v="Supplier 2"/>
    <s v="Mumbai"/>
    <n v="4"/>
    <n v="671"/>
    <n v="29"/>
    <n v="62.612690395614301"/>
    <s v="Pass"/>
    <n v="0.33343182522473902"/>
    <s v="Rail"/>
    <s v="Route B"/>
    <n v="230.092782536762"/>
    <n v="58"/>
  </r>
  <r>
    <x v="0"/>
    <s v="SKU93"/>
    <n v="69.290831002905406"/>
    <n v="88"/>
    <n v="114"/>
    <n v="4531.4021336919004"/>
    <s v="Unknown"/>
    <n v="63"/>
    <n v="17"/>
    <n v="66"/>
    <n v="1"/>
    <s v="Carrier C"/>
    <n v="7.00643205900439"/>
    <s v="Supplier 4"/>
    <s v="Chennai"/>
    <n v="21"/>
    <n v="824"/>
    <n v="20"/>
    <n v="35.633652343343797"/>
    <s v="Fail"/>
    <n v="4.1657817954241398"/>
    <s v="Air"/>
    <s v="Route A"/>
    <n v="823.52384588815505"/>
    <n v="58"/>
  </r>
  <r>
    <x v="2"/>
    <s v="SKU94"/>
    <n v="3.0376887246314102"/>
    <n v="97"/>
    <n v="987"/>
    <n v="7888.3565466618702"/>
    <s v="Unknown"/>
    <n v="77"/>
    <n v="26"/>
    <n v="72"/>
    <n v="9"/>
    <s v="Carrier B"/>
    <n v="6.9429459420325799"/>
    <s v="Supplier 2"/>
    <s v="Delhi"/>
    <n v="12"/>
    <n v="908"/>
    <n v="14"/>
    <n v="60.387378614862101"/>
    <s v="Pass"/>
    <n v="1.4636074984727701"/>
    <s v="Rail"/>
    <s v="Route B"/>
    <n v="846.66525698669398"/>
    <n v="52"/>
  </r>
  <r>
    <x v="0"/>
    <s v="SKU95"/>
    <n v="77.903927219447695"/>
    <n v="65"/>
    <n v="672"/>
    <n v="7386.3639440486604"/>
    <s v="Unknown"/>
    <n v="15"/>
    <n v="14"/>
    <n v="26"/>
    <n v="9"/>
    <s v="Carrier B"/>
    <n v="8.6303388696027508"/>
    <s v="Supplier 4"/>
    <s v="Mumbai"/>
    <n v="18"/>
    <n v="450"/>
    <n v="26"/>
    <n v="58.890685768589897"/>
    <s v="Pending"/>
    <n v="1.21088212958506"/>
    <s v="Air"/>
    <s v="Route A"/>
    <n v="778.86424137664699"/>
    <n v="58"/>
  </r>
  <r>
    <x v="2"/>
    <s v="SKU96"/>
    <n v="24.423131420373299"/>
    <n v="29"/>
    <n v="324"/>
    <n v="7698.4247656321104"/>
    <s v="Non-binary"/>
    <n v="67"/>
    <n v="2"/>
    <n v="32"/>
    <n v="3"/>
    <s v="Carrier C"/>
    <n v="5.3528780439967996"/>
    <s v="Supplier 3"/>
    <s v="Mumbai"/>
    <n v="28"/>
    <n v="648"/>
    <n v="28"/>
    <n v="17.803756331391199"/>
    <s v="Pending"/>
    <n v="3.8720476814821301"/>
    <s v="Road"/>
    <s v="Route A"/>
    <n v="188.74214114905601"/>
    <n v="58"/>
  </r>
  <r>
    <x v="0"/>
    <s v="SKU97"/>
    <n v="3.5261112591434101"/>
    <n v="56"/>
    <n v="62"/>
    <n v="4370.9165799845296"/>
    <s v="Male"/>
    <n v="46"/>
    <n v="19"/>
    <n v="4"/>
    <n v="9"/>
    <s v="Carrier A"/>
    <n v="7.9048456112096703"/>
    <s v="Supplier 4"/>
    <s v="Mumbai"/>
    <n v="10"/>
    <n v="535"/>
    <n v="13"/>
    <n v="65.765155926367399"/>
    <s v="Fail"/>
    <n v="3.3762378347179798"/>
    <s v="Road"/>
    <s v="Route A"/>
    <n v="540.13242286796697"/>
    <n v="42"/>
  </r>
  <r>
    <x v="1"/>
    <s v="SKU98"/>
    <n v="19.754604866878601"/>
    <n v="43"/>
    <n v="913"/>
    <n v="8525.9525596835192"/>
    <s v="Female"/>
    <n v="53"/>
    <n v="1"/>
    <n v="27"/>
    <n v="7"/>
    <s v="Carrier B"/>
    <n v="1.4098010951380699"/>
    <s v="Supplier 5"/>
    <s v="Chennai"/>
    <n v="28"/>
    <n v="581"/>
    <n v="9"/>
    <n v="5.6046908643717801"/>
    <s v="Pending"/>
    <n v="2.9081221693512598"/>
    <s v="Rail"/>
    <s v="Route A"/>
    <n v="882.19886354704101"/>
    <n v="38"/>
  </r>
  <r>
    <x v="0"/>
    <s v="SKU99"/>
    <n v="68.517832699276596"/>
    <n v="17"/>
    <n v="627"/>
    <n v="9185.1858291817007"/>
    <s v="Unknown"/>
    <n v="55"/>
    <n v="8"/>
    <n v="59"/>
    <n v="6"/>
    <s v="Carrier B"/>
    <n v="1.3110237561206199"/>
    <s v="Supplier 2"/>
    <s v="Chennai"/>
    <n v="29"/>
    <n v="921"/>
    <n v="2"/>
    <n v="38.072898520625998"/>
    <s v="Fail"/>
    <n v="0.34602729070550298"/>
    <s v="Rail"/>
    <s v="Route B"/>
    <n v="210.743008964246"/>
    <n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BDC249-F3D1-41F2-AFCC-AF594D1210B0}"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3:C17" firstHeaderRow="0" firstDataRow="1" firstDataCol="1"/>
  <pivotFields count="24">
    <pivotField axis="axisRow" showAll="0">
      <items count="4">
        <item x="2"/>
        <item x="0"/>
        <item x="1"/>
        <item t="default"/>
      </items>
    </pivotField>
    <pivotField showAll="0"/>
    <pivotField numFmtId="1" showAll="0"/>
    <pivotField showAll="0"/>
    <pivotField dataField="1" showAll="0"/>
    <pivotField dataField="1"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Fields count="1">
    <field x="0"/>
  </rowFields>
  <rowItems count="4">
    <i>
      <x/>
    </i>
    <i>
      <x v="1"/>
    </i>
    <i>
      <x v="2"/>
    </i>
    <i t="grand">
      <x/>
    </i>
  </rowItems>
  <colFields count="1">
    <field x="-2"/>
  </colFields>
  <colItems count="2">
    <i>
      <x/>
    </i>
    <i i="1">
      <x v="1"/>
    </i>
  </colItems>
  <dataFields count="2">
    <dataField name="Quantity sold" fld="4" baseField="0" baseItem="0"/>
    <dataField name="Revenue" fld="5" baseField="0" baseItem="0" numFmtId="1"/>
  </dataFields>
  <chartFormats count="4">
    <chartFormat chart="12" format="119" series="1">
      <pivotArea type="data" outline="0" fieldPosition="0">
        <references count="1">
          <reference field="4294967294" count="1" selected="0">
            <x v="0"/>
          </reference>
        </references>
      </pivotArea>
    </chartFormat>
    <chartFormat chart="12" format="120" series="1">
      <pivotArea type="data" outline="0" fieldPosition="0">
        <references count="1">
          <reference field="4294967294" count="1" selected="0">
            <x v="1"/>
          </reference>
        </references>
      </pivotArea>
    </chartFormat>
    <chartFormat chart="12" format="121">
      <pivotArea type="data" outline="0" fieldPosition="0">
        <references count="2">
          <reference field="4294967294" count="1" selected="0">
            <x v="1"/>
          </reference>
          <reference field="0" count="1" selected="0">
            <x v="1"/>
          </reference>
        </references>
      </pivotArea>
    </chartFormat>
    <chartFormat chart="12" format="122">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1B9514-ECDD-4D2F-99E1-1022D5BE5836}"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E26" firstHeaderRow="1" firstDataRow="3"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showAll="0"/>
    <pivotField dataField="1" showAll="0"/>
    <pivotField showAll="0"/>
    <pivotField axis="axisCol" showAll="0">
      <items count="4">
        <item x="1"/>
        <item h="1" x="0"/>
        <item h="1" x="2"/>
        <item t="default"/>
      </items>
    </pivotField>
    <pivotField dataField="1"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Fields count="1">
    <field x="0"/>
  </rowFields>
  <rowItems count="4">
    <i>
      <x/>
    </i>
    <i>
      <x v="1"/>
    </i>
    <i>
      <x v="2"/>
    </i>
    <i t="grand">
      <x/>
    </i>
  </rowItems>
  <colFields count="2">
    <field x="11"/>
    <field x="-2"/>
  </colFields>
  <colItems count="4">
    <i>
      <x/>
      <x/>
    </i>
    <i r="1" i="1">
      <x v="1"/>
    </i>
    <i t="grand">
      <x/>
    </i>
    <i t="grand" i="1">
      <x/>
    </i>
  </colItems>
  <dataFields count="2">
    <dataField name="Sum of Order quantities" fld="9" baseField="0" baseItem="0"/>
    <dataField name="Sum of Shipping costs" fld="12" baseField="0" baseItem="0" numFmtId="1"/>
  </dataFields>
  <chartFormats count="6">
    <chartFormat chart="11" format="27" series="1">
      <pivotArea type="data" outline="0" fieldPosition="0">
        <references count="2">
          <reference field="4294967294" count="1" selected="0">
            <x v="0"/>
          </reference>
          <reference field="11" count="1" selected="0">
            <x v="2"/>
          </reference>
        </references>
      </pivotArea>
    </chartFormat>
    <chartFormat chart="11" format="28" series="1">
      <pivotArea type="data" outline="0" fieldPosition="0">
        <references count="2">
          <reference field="4294967294" count="1" selected="0">
            <x v="1"/>
          </reference>
          <reference field="11" count="1" selected="0">
            <x v="2"/>
          </reference>
        </references>
      </pivotArea>
    </chartFormat>
    <chartFormat chart="11" format="29" series="1">
      <pivotArea type="data" outline="0" fieldPosition="0">
        <references count="2">
          <reference field="4294967294" count="1" selected="0">
            <x v="0"/>
          </reference>
          <reference field="11" count="1" selected="0">
            <x v="1"/>
          </reference>
        </references>
      </pivotArea>
    </chartFormat>
    <chartFormat chart="11" format="30" series="1">
      <pivotArea type="data" outline="0" fieldPosition="0">
        <references count="2">
          <reference field="4294967294" count="1" selected="0">
            <x v="1"/>
          </reference>
          <reference field="11" count="1" selected="0">
            <x v="1"/>
          </reference>
        </references>
      </pivotArea>
    </chartFormat>
    <chartFormat chart="11" format="31" series="1">
      <pivotArea type="data" outline="0" fieldPosition="0">
        <references count="2">
          <reference field="4294967294" count="1" selected="0">
            <x v="0"/>
          </reference>
          <reference field="11" count="1" selected="0">
            <x v="0"/>
          </reference>
        </references>
      </pivotArea>
    </chartFormat>
    <chartFormat chart="11" format="32" series="1">
      <pivotArea type="data" outline="0" fieldPosition="0">
        <references count="2">
          <reference field="4294967294" count="1" selected="0">
            <x v="1"/>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D083E8-DF36-47A1-A26E-69CE3F45578A}" name="PivotTable3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S71:U76" firstHeaderRow="1" firstDataRow="2"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dataField="1" showAll="0"/>
    <pivotField showAll="0"/>
    <pivotField showAll="0"/>
    <pivotField axis="axisCol" showAll="0">
      <items count="4">
        <item x="1"/>
        <item h="1" x="0"/>
        <item h="1" x="2"/>
        <item t="default"/>
      </items>
    </pivotField>
    <pivotField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Fields count="1">
    <field x="0"/>
  </rowFields>
  <rowItems count="4">
    <i>
      <x/>
    </i>
    <i>
      <x v="1"/>
    </i>
    <i>
      <x v="2"/>
    </i>
    <i t="grand">
      <x/>
    </i>
  </rowItems>
  <colFields count="1">
    <field x="11"/>
  </colFields>
  <colItems count="2">
    <i>
      <x/>
    </i>
    <i t="grand">
      <x/>
    </i>
  </colItems>
  <dataFields count="1">
    <dataField name="Average of Shipping_LT" fld="8" subtotal="average" baseField="0" baseItem="0"/>
  </dataFields>
  <chartFormats count="3">
    <chartFormat chart="12" format="3" series="1">
      <pivotArea type="data" outline="0" fieldPosition="0">
        <references count="2">
          <reference field="4294967294" count="1" selected="0">
            <x v="0"/>
          </reference>
          <reference field="11" count="1" selected="0">
            <x v="2"/>
          </reference>
        </references>
      </pivotArea>
    </chartFormat>
    <chartFormat chart="12" format="4" series="1">
      <pivotArea type="data" outline="0" fieldPosition="0">
        <references count="2">
          <reference field="4294967294" count="1" selected="0">
            <x v="0"/>
          </reference>
          <reference field="11" count="1" selected="0">
            <x v="1"/>
          </reference>
        </references>
      </pivotArea>
    </chartFormat>
    <chartFormat chart="12" format="5"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3B832-C705-4F5C-AD48-83B8E22F395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fg_LT">
  <location ref="G3:I10" firstHeaderRow="0" firstDataRow="1" firstDataCol="1"/>
  <pivotFields count="24">
    <pivotField showAll="0">
      <items count="4">
        <item h="1" x="2"/>
        <item h="1"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axis="axisRow" showAll="0">
      <items count="9">
        <item x="0"/>
        <item x="1"/>
        <item x="2"/>
        <item x="3"/>
        <item x="4"/>
        <item x="5"/>
        <item x="6"/>
        <item x="7"/>
        <item t="default"/>
      </items>
    </pivotField>
    <pivotField dataField="1" numFmtId="1" showAll="0"/>
    <pivotField showAll="0"/>
    <pivotField dataField="1" numFmtId="166" showAll="0"/>
    <pivotField showAll="0"/>
    <pivotField showAll="0"/>
    <pivotField numFmtId="1" showAll="0"/>
  </pivotFields>
  <rowFields count="1">
    <field x="17"/>
  </rowFields>
  <rowItems count="7">
    <i>
      <x v="1"/>
    </i>
    <i>
      <x v="2"/>
    </i>
    <i>
      <x v="3"/>
    </i>
    <i>
      <x v="4"/>
    </i>
    <i>
      <x v="5"/>
    </i>
    <i>
      <x v="6"/>
    </i>
    <i t="grand">
      <x/>
    </i>
  </rowItems>
  <colFields count="1">
    <field x="-2"/>
  </colFields>
  <colItems count="2">
    <i>
      <x/>
    </i>
    <i i="1">
      <x v="1"/>
    </i>
  </colItems>
  <dataFields count="2">
    <dataField name="Manufacturing costs(₹)" fld="18" subtotal="average" baseField="17" baseItem="1" numFmtId="1"/>
    <dataField name="Defect rates (%)" fld="20" subtotal="average" baseField="17" baseItem="1" numFmtId="166"/>
  </dataFields>
  <chartFormats count="2">
    <chartFormat chart="12"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2E5FAD-470B-451B-8755-416AE5425EA7}" name="PivotTable3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7:R11" firstHeaderRow="1" firstDataRow="1" firstDataCol="1"/>
  <pivotFields count="25">
    <pivotField axis="axisRow" showAll="0">
      <items count="4">
        <item x="2"/>
        <item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 dataField="1" showAll="0"/>
  </pivotFields>
  <rowFields count="1">
    <field x="0"/>
  </rowFields>
  <rowItems count="4">
    <i>
      <x/>
    </i>
    <i>
      <x v="1"/>
    </i>
    <i>
      <x v="2"/>
    </i>
    <i t="grand">
      <x/>
    </i>
  </rowItems>
  <colItems count="1">
    <i/>
  </colItems>
  <dataFields count="1">
    <dataField name="Average of Total Lead Time" fld="24" subtotal="average"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1D1205-EE37-4D03-8E21-09E3E5A1D8B3}"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0:K35" firstHeaderRow="1" firstDataRow="2" firstDataCol="1"/>
  <pivotFields count="24">
    <pivotField axis="axisCol" showAll="0">
      <items count="4">
        <item x="2"/>
        <item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axis="axisRow" dataField="1" showAll="0">
      <items count="4">
        <item x="1"/>
        <item x="2"/>
        <item x="0"/>
        <item t="default"/>
      </items>
    </pivotField>
    <pivotField numFmtId="166" showAll="0"/>
    <pivotField showAll="0"/>
    <pivotField showAll="0"/>
    <pivotField numFmtId="1" showAll="0"/>
  </pivotFields>
  <rowFields count="1">
    <field x="19"/>
  </rowFields>
  <rowItems count="4">
    <i>
      <x/>
    </i>
    <i>
      <x v="1"/>
    </i>
    <i>
      <x v="2"/>
    </i>
    <i t="grand">
      <x/>
    </i>
  </rowItems>
  <colFields count="1">
    <field x="0"/>
  </colFields>
  <colItems count="4">
    <i>
      <x/>
    </i>
    <i>
      <x v="1"/>
    </i>
    <i>
      <x v="2"/>
    </i>
    <i t="grand">
      <x/>
    </i>
  </colItems>
  <dataFields count="1">
    <dataField name="Count of Inspection results"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2B4B36-0483-4FD8-B559-61ECB7F4B765}" name="PivotTable2" cacheId="2" applyNumberFormats="0" applyBorderFormats="0" applyFontFormats="0" applyPatternFormats="0" applyAlignmentFormats="0" applyWidthHeightFormats="1" dataCaption="Values" tag="507e7762-62d3-4063-a201-c49cf4ba6c11" updatedVersion="8" minRefreshableVersion="3" useAutoFormatting="1" subtotalHiddenItems="1" itemPrintTitles="1" createdVersion="8" indent="0" outline="1" outlineData="1" multipleFieldFilters="0" chartFormat="23" rowHeaderCaption="Product type">
  <location ref="A3:D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name="Shipping Lead Time" fld="1" subtotal="average" baseField="0" baseItem="0" numFmtId="2"/>
    <dataField name="Manufacturing Lead Time" fld="3" subtotal="average" baseField="0" baseItem="0" numFmtId="2"/>
    <dataField name="Supplier Lead Time" fld="2" subtotal="average" baseField="0" baseItem="0" numFmtId="2"/>
  </dataFields>
  <chartFormats count="3">
    <chartFormat chart="22" format="12"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1"/>
          </reference>
        </references>
      </pivotArea>
    </chartFormat>
    <chartFormat chart="22" format="14" series="1">
      <pivotArea type="data" outline="0" fieldPosition="0">
        <references count="1">
          <reference field="4294967294" count="1" selected="0">
            <x v="2"/>
          </reference>
        </references>
      </pivotArea>
    </chartFormat>
  </chartFormats>
  <pivotHierarchies count="3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hipping Lead Time"/>
    <pivotHierarchy dragToData="1"/>
    <pivotHierarchy dragToData="1" caption="Supplier Lead Time"/>
    <pivotHierarchy dragToData="1"/>
    <pivotHierarchy dragToData="1" caption="Manufacturing Lead Time"/>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33E38C-81C5-48A0-9238-7244B052C89C}"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13:H17" firstHeaderRow="0" firstDataRow="1" firstDataCol="1"/>
  <pivotFields count="24">
    <pivotField axis="axisRow" showAll="0">
      <items count="4">
        <item x="2"/>
        <item x="0"/>
        <item x="1"/>
        <item t="default"/>
      </items>
    </pivotField>
    <pivotField showAll="0"/>
    <pivotField numFmtId="1" showAll="0"/>
    <pivotField dataField="1" showAll="0"/>
    <pivotField showAll="0"/>
    <pivotField numFmtId="1" showAll="0"/>
    <pivotField showAll="0"/>
    <pivotField dataField="1"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Fields count="1">
    <field x="0"/>
  </rowFields>
  <rowItems count="4">
    <i>
      <x/>
    </i>
    <i>
      <x v="1"/>
    </i>
    <i>
      <x v="2"/>
    </i>
    <i t="grand">
      <x/>
    </i>
  </rowItems>
  <colFields count="1">
    <field x="-2"/>
  </colFields>
  <colItems count="2">
    <i>
      <x/>
    </i>
    <i i="1">
      <x v="1"/>
    </i>
  </colItems>
  <dataFields count="2">
    <dataField name="Sum of Stock levels" fld="7" baseField="0" baseItem="0"/>
    <dataField name="Sum of Availability" fld="3" baseField="0" baseItem="0"/>
  </dataFields>
  <chartFormats count="2">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20A35D-9DFC-4020-83B7-2CD08BE85EDA}" name="PivotTable2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9">
  <location ref="H19:N26" firstHeaderRow="1" firstDataRow="2" firstDataCol="1"/>
  <pivotFields count="24">
    <pivotField showAll="0">
      <items count="4">
        <item h="1" x="2"/>
        <item h="1"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axis="axisRow" showAll="0">
      <items count="6">
        <item x="1"/>
        <item x="4"/>
        <item x="0"/>
        <item x="3"/>
        <item x="2"/>
        <item t="default"/>
      </items>
    </pivotField>
    <pivotField axis="axisCol" dataField="1" showAll="0">
      <items count="6">
        <item x="3"/>
        <item x="4"/>
        <item x="2"/>
        <item x="1"/>
        <item x="0"/>
        <item t="default"/>
      </items>
    </pivotField>
    <pivotField showAll="0"/>
    <pivotField showAll="0"/>
    <pivotField showAll="0"/>
    <pivotField numFmtId="1" showAll="0"/>
    <pivotField showAll="0"/>
    <pivotField numFmtId="166" showAll="0"/>
    <pivotField showAll="0"/>
    <pivotField showAll="0"/>
    <pivotField numFmtId="1" showAll="0"/>
  </pivotFields>
  <rowFields count="1">
    <field x="13"/>
  </rowFields>
  <rowItems count="6">
    <i>
      <x/>
    </i>
    <i>
      <x v="1"/>
    </i>
    <i>
      <x v="2"/>
    </i>
    <i>
      <x v="3"/>
    </i>
    <i>
      <x v="4"/>
    </i>
    <i t="grand">
      <x/>
    </i>
  </rowItems>
  <colFields count="1">
    <field x="14"/>
  </colFields>
  <colItems count="6">
    <i>
      <x/>
    </i>
    <i>
      <x v="1"/>
    </i>
    <i>
      <x v="2"/>
    </i>
    <i>
      <x v="3"/>
    </i>
    <i>
      <x v="4"/>
    </i>
    <i t="grand">
      <x/>
    </i>
  </colItems>
  <dataFields count="1">
    <dataField name="Count of Location" fld="14" subtotal="count" baseField="13" baseItem="3"/>
  </dataFields>
  <chartFormats count="5">
    <chartFormat chart="7" format="25" series="1">
      <pivotArea type="data" outline="0" fieldPosition="0">
        <references count="2">
          <reference field="4294967294" count="1" selected="0">
            <x v="0"/>
          </reference>
          <reference field="14" count="1" selected="0">
            <x v="0"/>
          </reference>
        </references>
      </pivotArea>
    </chartFormat>
    <chartFormat chart="7" format="26" series="1">
      <pivotArea type="data" outline="0" fieldPosition="0">
        <references count="2">
          <reference field="4294967294" count="1" selected="0">
            <x v="0"/>
          </reference>
          <reference field="14" count="1" selected="0">
            <x v="1"/>
          </reference>
        </references>
      </pivotArea>
    </chartFormat>
    <chartFormat chart="7" format="27" series="1">
      <pivotArea type="data" outline="0" fieldPosition="0">
        <references count="2">
          <reference field="4294967294" count="1" selected="0">
            <x v="0"/>
          </reference>
          <reference field="14" count="1" selected="0">
            <x v="2"/>
          </reference>
        </references>
      </pivotArea>
    </chartFormat>
    <chartFormat chart="7" format="28" series="1">
      <pivotArea type="data" outline="0" fieldPosition="0">
        <references count="2">
          <reference field="4294967294" count="1" selected="0">
            <x v="0"/>
          </reference>
          <reference field="14" count="1" selected="0">
            <x v="3"/>
          </reference>
        </references>
      </pivotArea>
    </chartFormat>
    <chartFormat chart="7" format="29"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A0A54F-8693-46C4-84F8-F444754BD81B}"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9:E35" firstHeaderRow="1" firstDataRow="2" firstDataCol="1"/>
  <pivotFields count="24">
    <pivotField showAll="0"/>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6" showAll="0"/>
    <pivotField axis="axisRow" showAll="0">
      <items count="5">
        <item x="1"/>
        <item x="2"/>
        <item x="0"/>
        <item x="3"/>
        <item t="default"/>
      </items>
    </pivotField>
    <pivotField axis="axisCol" showAll="0">
      <items count="4">
        <item x="2"/>
        <item x="0"/>
        <item x="1"/>
        <item t="default"/>
      </items>
    </pivotField>
    <pivotField dataField="1" numFmtId="1" showAll="0"/>
  </pivotFields>
  <rowFields count="1">
    <field x="21"/>
  </rowFields>
  <rowItems count="5">
    <i>
      <x/>
    </i>
    <i>
      <x v="1"/>
    </i>
    <i>
      <x v="2"/>
    </i>
    <i>
      <x v="3"/>
    </i>
    <i t="grand">
      <x/>
    </i>
  </rowItems>
  <colFields count="1">
    <field x="22"/>
  </colFields>
  <colItems count="4">
    <i>
      <x/>
    </i>
    <i>
      <x v="1"/>
    </i>
    <i>
      <x v="2"/>
    </i>
    <i t="grand">
      <x/>
    </i>
  </colItems>
  <dataFields count="1">
    <dataField name="Sum of Costs" fld="2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Revenue Generated by SKU"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1" rowHeaderCaption="Product Price">
  <location ref="A146:B247" firstHeaderRow="1" firstDataRow="1" firstDataCol="1"/>
  <pivotFields count="24">
    <pivotField showAll="0"/>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Revenue generated" fld="5" baseField="0" baseItem="0" numFmtId="1"/>
  </dataFields>
  <formats count="3">
    <format dxfId="14">
      <pivotArea grandRow="1" outline="0" collapsedLevelsAreSubtotals="1" fieldPosition="0"/>
    </format>
    <format dxfId="13">
      <pivotArea dataOnly="0" labelOnly="1" grandRow="1" outline="0" fieldPosition="0"/>
    </format>
    <format dxfId="12">
      <pivotArea outline="0" collapsedLevelsAreSubtotals="1" fieldPosition="0"/>
    </format>
  </formats>
  <chartFormats count="1">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avearge defect by product typ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2" rowHeaderCaption="Product Price">
  <location ref="A492:B496" firstHeaderRow="1" firstDataRow="1" firstDataCol="1"/>
  <pivotFields count="24">
    <pivotField axis="axisRow" showAll="0">
      <items count="4">
        <item sd="0" x="2"/>
        <item sd="0" x="0"/>
        <item sd="0" x="1"/>
        <item t="default"/>
      </items>
    </pivotField>
    <pivotField showAll="0"/>
    <pivotField numFmtId="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4">
    <i>
      <x/>
    </i>
    <i>
      <x v="1"/>
    </i>
    <i>
      <x v="2"/>
    </i>
    <i t="grand">
      <x/>
    </i>
  </rowItems>
  <colItems count="1">
    <i/>
  </colItems>
  <dataFields count="1">
    <dataField name="Average of Defect rates" fld="20" subtotal="average" baseField="0" baseItem="0" numFmtId="166"/>
  </dataFields>
  <formats count="3">
    <format dxfId="17">
      <pivotArea grandRow="1" outline="0" collapsedLevelsAreSubtotals="1" fieldPosition="0"/>
    </format>
    <format dxfId="16">
      <pivotArea dataOnly="0" labelOnly="1" grandRow="1" outline="0" fieldPosition="0"/>
    </format>
    <format dxfId="15">
      <pivotArea outline="0" collapsedLevelsAreSubtotals="1" fieldPosition="0"/>
    </format>
  </formats>
  <chartFormats count="1">
    <chartFormat chart="3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cost distribution"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1" rowHeaderCaption="Product Price">
  <location ref="A477:B482" firstHeaderRow="1" firstDataRow="1" firstDataCol="1"/>
  <pivotFields count="24">
    <pivotField showAll="0"/>
    <pivotField showAll="0"/>
    <pivotField numFmtId="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 dataField="1" showAll="0"/>
  </pivotFields>
  <rowFields count="1">
    <field x="21"/>
  </rowFields>
  <rowItems count="5">
    <i>
      <x/>
    </i>
    <i>
      <x v="1"/>
    </i>
    <i>
      <x v="2"/>
    </i>
    <i>
      <x v="3"/>
    </i>
    <i t="grand">
      <x/>
    </i>
  </rowItems>
  <colItems count="1">
    <i/>
  </colItems>
  <dataFields count="1">
    <dataField name="Sum of Costs" fld="23" baseField="0" baseItem="0"/>
  </dataFields>
  <formats count="3">
    <format dxfId="20">
      <pivotArea grandRow="1" outline="0" collapsedLevelsAreSubtotals="1" fieldPosition="0"/>
    </format>
    <format dxfId="19">
      <pivotArea dataOnly="0" labelOnly="1" grandRow="1" outline="0" fieldPosition="0"/>
    </format>
    <format dxfId="18">
      <pivotArea outline="0" collapsedLevelsAreSubtotals="1" fieldPosition="0"/>
    </format>
  </formats>
  <chartFormats count="5">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21" count="1" selected="0">
            <x v="0"/>
          </reference>
        </references>
      </pivotArea>
    </chartFormat>
    <chartFormat chart="34" format="2">
      <pivotArea type="data" outline="0" fieldPosition="0">
        <references count="2">
          <reference field="4294967294" count="1" selected="0">
            <x v="0"/>
          </reference>
          <reference field="21" count="1" selected="0">
            <x v="1"/>
          </reference>
        </references>
      </pivotArea>
    </chartFormat>
    <chartFormat chart="34" format="3">
      <pivotArea type="data" outline="0" fieldPosition="0">
        <references count="2">
          <reference field="4294967294" count="1" selected="0">
            <x v="0"/>
          </reference>
          <reference field="21" count="1" selected="0">
            <x v="2"/>
          </reference>
        </references>
      </pivotArea>
    </chartFormat>
    <chartFormat chart="34" format="4">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Av Lead/Manufacturing"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8" rowHeaderCaption="Product type">
  <location ref="A137:C141" firstHeaderRow="0" firstDataRow="1" firstDataCol="1"/>
  <pivotFields count="24">
    <pivotField axis="axisRow" showAll="0">
      <items count="4">
        <item sd="0" x="2"/>
        <item sd="0" x="0"/>
        <item sd="0" x="1"/>
        <item t="default"/>
      </items>
    </pivotField>
    <pivotField showAll="0"/>
    <pivotField numFmtId="3"/>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Average of Lead times" fld="8" subtotal="average" baseField="0" baseItem="0"/>
    <dataField name="Average of Manufacturing costs" fld="18" subtotal="average" baseField="0" baseItem="0"/>
  </dataFields>
  <formats count="3">
    <format dxfId="23">
      <pivotArea grandRow="1" outline="0" collapsedLevelsAreSubtotals="1" fieldPosition="0"/>
    </format>
    <format dxfId="22">
      <pivotArea dataOnly="0" labelOnly="1" grandRow="1" outline="0" fieldPosition="0"/>
    </format>
    <format dxfId="21">
      <pivotArea outline="0" collapsedLevelsAreSubtotals="1" fieldPosition="0"/>
    </format>
  </formats>
  <chartFormats count="4">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defect rate by transportation mod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7" rowHeaderCaption="Product Price">
  <location ref="A512:B517" firstHeaderRow="1" firstDataRow="1" firstDataCol="1"/>
  <pivotFields count="24">
    <pivotField showAll="0"/>
    <pivotField showAll="0"/>
    <pivotField numFmtId="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1"/>
        <item x="2"/>
        <item x="0"/>
        <item x="3"/>
        <item t="default"/>
      </items>
    </pivotField>
    <pivotField showAll="0"/>
    <pivotField showAll="0"/>
  </pivotFields>
  <rowFields count="1">
    <field x="21"/>
  </rowFields>
  <rowItems count="5">
    <i>
      <x/>
    </i>
    <i>
      <x v="1"/>
    </i>
    <i>
      <x v="2"/>
    </i>
    <i>
      <x v="3"/>
    </i>
    <i t="grand">
      <x/>
    </i>
  </rowItems>
  <colItems count="1">
    <i/>
  </colItems>
  <dataFields count="1">
    <dataField name="Sum of Defect rates" fld="20" showDataAs="percentOfTotal" baseField="21" baseItem="0" numFmtId="10"/>
  </dataFields>
  <formats count="5">
    <format dxfId="28">
      <pivotArea grandRow="1" outline="0" collapsedLevelsAreSubtotals="1" fieldPosition="0"/>
    </format>
    <format dxfId="27">
      <pivotArea dataOnly="0" labelOnly="1" grandRow="1" outline="0" fieldPosition="0"/>
    </format>
    <format dxfId="26">
      <pivotArea outline="0" collapsedLevelsAreSubtotals="1" fieldPosition="0"/>
    </format>
    <format dxfId="25">
      <pivotArea outline="0" fieldPosition="0">
        <references count="1">
          <reference field="4294967294" count="1">
            <x v="0"/>
          </reference>
        </references>
      </pivotArea>
    </format>
    <format dxfId="24">
      <pivotArea collapsedLevelsAreSubtotals="1" fieldPosition="0">
        <references count="1">
          <reference field="21" count="0"/>
        </references>
      </pivotArea>
    </format>
  </formats>
  <chartFormats count="6">
    <chartFormat chart="36"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39" format="1">
      <pivotArea type="data" outline="0" fieldPosition="0">
        <references count="2">
          <reference field="4294967294" count="1" selected="0">
            <x v="0"/>
          </reference>
          <reference field="21" count="1" selected="0">
            <x v="0"/>
          </reference>
        </references>
      </pivotArea>
    </chartFormat>
    <chartFormat chart="39" format="2">
      <pivotArea type="data" outline="0" fieldPosition="0">
        <references count="2">
          <reference field="4294967294" count="1" selected="0">
            <x v="0"/>
          </reference>
          <reference field="21" count="1" selected="0">
            <x v="1"/>
          </reference>
        </references>
      </pivotArea>
    </chartFormat>
    <chartFormat chart="39" format="3">
      <pivotArea type="data" outline="0" fieldPosition="0">
        <references count="2">
          <reference field="4294967294" count="1" selected="0">
            <x v="0"/>
          </reference>
          <reference field="21" count="1" selected="0">
            <x v="2"/>
          </reference>
        </references>
      </pivotArea>
    </chartFormat>
    <chartFormat chart="39" format="4">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Order by SKu"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8" rowHeaderCaption="Product Price">
  <location ref="A357:B458" firstHeaderRow="1" firstDataRow="1" firstDataCol="1"/>
  <pivotFields count="24">
    <pivotField showAll="0">
      <items count="4">
        <item x="2"/>
        <item x="0"/>
        <item x="1"/>
        <item t="default"/>
      </items>
    </pivotField>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3"/>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Order quantities" fld="9" baseField="0" baseItem="0"/>
  </dataFields>
  <formats count="3">
    <format dxfId="31">
      <pivotArea grandRow="1" outline="0" collapsedLevelsAreSubtotals="1" fieldPosition="0"/>
    </format>
    <format dxfId="30">
      <pivotArea dataOnly="0" labelOnly="1" grandRow="1" outline="0" fieldPosition="0"/>
    </format>
    <format dxfId="29">
      <pivotArea outline="0" collapsedLevelsAreSubtotals="1" fieldPosition="0"/>
    </format>
  </format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otal Revenue by Shipping Carrier"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8" rowHeaderCaption="Product Price">
  <location ref="A122:B126" firstHeaderRow="1" firstDataRow="1" firstDataCol="1"/>
  <pivotFields count="24">
    <pivotField showAll="0"/>
    <pivotField showAll="0"/>
    <pivotField numFmtId="3"/>
    <pivotField showAll="0"/>
    <pivotField showAll="0"/>
    <pivotField dataField="1"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Revenue generated" fld="5" baseField="0" baseItem="0"/>
  </dataFields>
  <formats count="4">
    <format dxfId="35">
      <pivotArea grandRow="1" outline="0" collapsedLevelsAreSubtotals="1" fieldPosition="0"/>
    </format>
    <format dxfId="34">
      <pivotArea outline="0" collapsedLevelsAreSubtotals="1" fieldPosition="0"/>
    </format>
    <format dxfId="33">
      <pivotArea dataOnly="0" labelOnly="1" grandRow="1" outline="0" fieldPosition="0"/>
    </format>
    <format dxfId="32">
      <pivotArea collapsedLevelsAreSubtotals="1" fieldPosition="0">
        <references count="1">
          <reference field="11" count="0"/>
        </references>
      </pivotArea>
    </format>
  </formats>
  <chartFormats count="1">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roduct typ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5" rowHeaderCaption="Product Price">
  <location ref="A3:E105" firstHeaderRow="1" firstDataRow="2" firstDataCol="1"/>
  <pivotFields count="24">
    <pivotField axis="axisCol" showAll="0">
      <items count="4">
        <item sd="0" x="2"/>
        <item sd="0" x="0"/>
        <item sd="0" x="1"/>
        <item t="default"/>
      </items>
    </pivotField>
    <pivotField showAll="0"/>
    <pivotField axis="axisRow" numFmtId="3">
      <items count="101">
        <item x="5"/>
        <item x="28"/>
        <item x="94"/>
        <item x="74"/>
        <item x="97"/>
        <item x="6"/>
        <item x="24"/>
        <item x="23"/>
        <item x="4"/>
        <item x="78"/>
        <item x="71"/>
        <item x="16"/>
        <item x="30"/>
        <item x="36"/>
        <item x="2"/>
        <item x="43"/>
        <item x="63"/>
        <item x="90"/>
        <item x="50"/>
        <item x="1"/>
        <item x="10"/>
        <item x="13"/>
        <item x="60"/>
        <item x="82"/>
        <item x="39"/>
        <item x="98"/>
        <item x="86"/>
        <item x="56"/>
        <item x="37"/>
        <item x="96"/>
        <item x="66"/>
        <item x="51"/>
        <item x="46"/>
        <item x="22"/>
        <item x="53"/>
        <item x="54"/>
        <item x="65"/>
        <item x="45"/>
        <item x="18"/>
        <item x="15"/>
        <item x="34"/>
        <item x="68"/>
        <item x="25"/>
        <item x="7"/>
        <item x="42"/>
        <item x="92"/>
        <item x="70"/>
        <item x="57"/>
        <item x="31"/>
        <item x="19"/>
        <item x="44"/>
        <item x="61"/>
        <item x="38"/>
        <item x="69"/>
        <item x="79"/>
        <item x="77"/>
        <item x="58"/>
        <item x="3"/>
        <item x="91"/>
        <item x="29"/>
        <item x="59"/>
        <item x="9"/>
        <item x="33"/>
        <item x="99"/>
        <item x="8"/>
        <item x="83"/>
        <item x="76"/>
        <item x="93"/>
        <item x="0"/>
        <item x="12"/>
        <item x="62"/>
        <item x="81"/>
        <item x="88"/>
        <item x="48"/>
        <item x="85"/>
        <item x="95"/>
        <item x="49"/>
        <item x="32"/>
        <item x="55"/>
        <item x="87"/>
        <item x="40"/>
        <item x="17"/>
        <item x="73"/>
        <item x="21"/>
        <item x="35"/>
        <item x="67"/>
        <item x="84"/>
        <item x="64"/>
        <item x="72"/>
        <item x="11"/>
        <item x="80"/>
        <item x="27"/>
        <item x="75"/>
        <item x="47"/>
        <item x="20"/>
        <item x="26"/>
        <item x="89"/>
        <item x="52"/>
        <item x="41"/>
        <item x="1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0"/>
  </colFields>
  <colItems count="4">
    <i>
      <x/>
    </i>
    <i>
      <x v="1"/>
    </i>
    <i>
      <x v="2"/>
    </i>
    <i t="grand">
      <x/>
    </i>
  </colItems>
  <dataFields count="1">
    <dataField name="Sum of Revenue generated" fld="5" baseField="0" baseItem="0"/>
  </dataFields>
  <formats count="3">
    <format dxfId="38">
      <pivotArea grandRow="1" outline="0" collapsedLevelsAreSubtotals="1" fieldPosition="0"/>
    </format>
    <format dxfId="37">
      <pivotArea outline="0" collapsedLevelsAreSubtotals="1" fieldPosition="0"/>
    </format>
    <format dxfId="36">
      <pivotArea dataOnly="0" labelOnly="1" grandRow="1" outline="0" fieldPosition="0"/>
    </format>
  </formats>
  <chartFormats count="3">
    <chartFormat chart="3" format="3"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Stock level by sku"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1" rowHeaderCaption="Product Price">
  <location ref="A251:B352" firstHeaderRow="1" firstDataRow="1" firstDataCol="1"/>
  <pivotFields count="24">
    <pivotField showAll="0"/>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3"/>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Stock levels" fld="7" baseField="0" baseItem="0" numFmtId="1"/>
  </dataFields>
  <formats count="4">
    <format dxfId="42">
      <pivotArea grandRow="1" outline="0" collapsedLevelsAreSubtotals="1" fieldPosition="0"/>
    </format>
    <format dxfId="41">
      <pivotArea dataOnly="0" labelOnly="1" grandRow="1" outline="0" fieldPosition="0"/>
    </format>
    <format dxfId="40">
      <pivotArea collapsedLevelsAreSubtotals="1" fieldPosition="0">
        <references count="1">
          <reference field="1" count="1">
            <x v="0"/>
          </reference>
        </references>
      </pivotArea>
    </format>
    <format dxfId="39">
      <pivotArea outline="0" collapsedLevelsAreSubtotals="1" fieldPosition="0"/>
    </format>
  </formats>
  <chartFormats count="1">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Shpping cost by carrier"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7" rowHeaderCaption="Product Price">
  <location ref="A466:B470" firstHeaderRow="1" firstDataRow="1" firstDataCol="1"/>
  <pivotFields count="24">
    <pivotField showAll="0"/>
    <pivotField showAll="0"/>
    <pivotField numFmtId="3"/>
    <pivotField showAll="0"/>
    <pivotField showAll="0"/>
    <pivotField showAll="0"/>
    <pivotField showAll="0"/>
    <pivotField showAll="0"/>
    <pivotField showAll="0"/>
    <pivotField showAll="0"/>
    <pivotField showAll="0"/>
    <pivotField axis="axisRow" showAll="0">
      <items count="4">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Shipping costs" fld="12" baseField="0" baseItem="0" numFmtId="1"/>
  </dataFields>
  <formats count="3">
    <format dxfId="45">
      <pivotArea grandRow="1" outline="0" collapsedLevelsAreSubtotals="1" fieldPosition="0"/>
    </format>
    <format dxfId="44">
      <pivotArea dataOnly="0" labelOnly="1" grandRow="1" outline="0" fieldPosition="0"/>
    </format>
    <format dxfId="43">
      <pivotArea outline="0" collapsedLevelsAreSubtotals="1" fieldPosition="0"/>
    </format>
  </formats>
  <chartFormats count="1">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Sales by Product Typ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7" rowHeaderCaption="Product Price">
  <location ref="A108:B112" firstHeaderRow="1" firstDataRow="1" firstDataCol="1"/>
  <pivotFields count="24">
    <pivotField axis="axisRow" showAll="0">
      <items count="4">
        <item sd="0" x="2"/>
        <item sd="0" x="0"/>
        <item sd="0" x="1"/>
        <item t="default"/>
      </items>
    </pivotField>
    <pivotField showAll="0"/>
    <pivotField numFmtId="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Number of products sold" fld="4" showDataAs="percentOfTotal" baseField="0" baseItem="0" numFmtId="10"/>
  </dataFields>
  <formats count="4">
    <format dxfId="49">
      <pivotArea grandRow="1" outline="0" collapsedLevelsAreSubtotals="1" fieldPosition="0"/>
    </format>
    <format dxfId="48">
      <pivotArea outline="0" collapsedLevelsAreSubtotals="1" fieldPosition="0"/>
    </format>
    <format dxfId="47">
      <pivotArea dataOnly="0" labelOnly="1" grandRow="1" outline="0" fieldPosition="0"/>
    </format>
    <format dxfId="46">
      <pivotArea outline="0" fieldPosition="0">
        <references count="1">
          <reference field="4294967294" count="1">
            <x v="0"/>
          </reference>
        </references>
      </pivotArea>
    </format>
  </formats>
  <chartFormats count="4">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0" count="1" selected="0">
            <x v="0"/>
          </reference>
        </references>
      </pivotArea>
    </chartFormat>
    <chartFormat chart="23" format="2">
      <pivotArea type="data" outline="0" fieldPosition="0">
        <references count="2">
          <reference field="4294967294" count="1" selected="0">
            <x v="0"/>
          </reference>
          <reference field="0" count="1" selected="0">
            <x v="1"/>
          </reference>
        </references>
      </pivotArea>
    </chartFormat>
    <chartFormat chart="23"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200-000012000000}" name="Average of Lead times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8:B32" firstHeaderRow="1" firstDataRow="1"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dataField="1" showAll="0"/>
    <pivotField showAll="0"/>
    <pivotField showAll="0"/>
    <pivotField showAll="0"/>
    <pivotField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Fields count="1">
    <field x="0"/>
  </rowFields>
  <rowItems count="4">
    <i>
      <x/>
    </i>
    <i>
      <x v="1"/>
    </i>
    <i>
      <x v="2"/>
    </i>
    <i t="grand">
      <x/>
    </i>
  </rowItems>
  <colItems count="1">
    <i/>
  </colItems>
  <dataFields count="1">
    <dataField name="Average of Lead times" fld="8" subtotal="average" baseField="1" baseItem="78575356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200-00000E000000}" name="Revenue Generated from Suppliers"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106:B112" firstHeaderRow="1" firstDataRow="1" firstDataCol="1"/>
  <pivotFields count="24">
    <pivotField showAll="0">
      <items count="4">
        <item h="1" x="2"/>
        <item h="1" x="0"/>
        <item x="1"/>
        <item t="default"/>
      </items>
    </pivotField>
    <pivotField showAll="0"/>
    <pivotField numFmtId="1" showAll="0"/>
    <pivotField showAll="0"/>
    <pivotField showAll="0"/>
    <pivotField dataField="1" numFmtId="1" showAll="0"/>
    <pivotField showAll="0"/>
    <pivotField showAll="0"/>
    <pivotField showAll="0"/>
    <pivotField showAll="0"/>
    <pivotField showAll="0"/>
    <pivotField showAll="0">
      <items count="4">
        <item x="1"/>
        <item x="0"/>
        <item x="2"/>
        <item t="default"/>
      </items>
    </pivotField>
    <pivotField numFmtId="1"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showAll="0"/>
    <pivotField numFmtId="166" showAll="0"/>
    <pivotField showAll="0"/>
    <pivotField showAll="0"/>
    <pivotField numFmtId="1" showAll="0"/>
  </pivotFields>
  <rowFields count="1">
    <field x="13"/>
  </rowFields>
  <rowItems count="6">
    <i>
      <x/>
    </i>
    <i>
      <x v="2"/>
    </i>
    <i>
      <x v="4"/>
    </i>
    <i>
      <x v="1"/>
    </i>
    <i>
      <x v="3"/>
    </i>
    <i t="grand">
      <x/>
    </i>
  </rowItems>
  <colItems count="1">
    <i/>
  </colItems>
  <dataFields count="1">
    <dataField name="Sum of Revenue generated" fld="5" baseField="0" baseItem="0" numFmtId="169"/>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200-000016000000}" name="Average of Shipping cost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5:B39" firstHeaderRow="1" firstDataRow="1"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dataField="1"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Fields count="1">
    <field x="0"/>
  </rowFields>
  <rowItems count="4">
    <i>
      <x/>
    </i>
    <i>
      <x v="1"/>
    </i>
    <i>
      <x v="2"/>
    </i>
    <i t="grand">
      <x/>
    </i>
  </rowItems>
  <colItems count="1">
    <i/>
  </colItems>
  <dataFields count="1">
    <dataField name="Average of Shipping costs" fld="12"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200-000013000000}" name="higest revenue generated by produc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4:B18" firstHeaderRow="1" firstDataRow="1" firstDataCol="1"/>
  <pivotFields count="24">
    <pivotField name="higest revenue generated by product"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Fields count="1">
    <field x="0"/>
  </rowFields>
  <rowItems count="4">
    <i>
      <x v="2"/>
    </i>
    <i>
      <x v="1"/>
    </i>
    <i>
      <x/>
    </i>
    <i t="grand">
      <x/>
    </i>
  </rowItems>
  <colItems count="1">
    <i/>
  </colItems>
  <dataFields count="1">
    <dataField name="higest revenue generated by product " fld="5" baseField="0" baseItem="0" numFmtId="16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200-000010000000}" name="Total Product Delivered By Carriers"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3">
  <location ref="A89:B93" firstHeaderRow="1" firstDataRow="1" firstDataCol="1"/>
  <pivotFields count="24">
    <pivotField showAll="0">
      <items count="4">
        <item h="1" x="2"/>
        <item h="1"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 showAll="0"/>
    <pivotField showAll="0"/>
    <pivotField showAll="0"/>
    <pivotField dataField="1" numFmtId="1"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 showAll="0"/>
    <pivotField showAll="0"/>
    <pivotField showAll="0">
      <items count="6">
        <item x="3"/>
        <item x="4"/>
        <item x="2"/>
        <item x="1"/>
        <item x="0"/>
        <item t="default"/>
      </items>
    </pivotField>
    <pivotField showAll="0"/>
    <pivotField showAll="0"/>
    <pivotField showAll="0"/>
    <pivotField numFmtId="1" showAll="0"/>
    <pivotField showAll="0"/>
    <pivotField numFmtId="166" showAll="0"/>
    <pivotField showAll="0">
      <items count="5">
        <item x="1"/>
        <item x="2"/>
        <item x="0"/>
        <item x="3"/>
        <item t="default"/>
      </items>
    </pivotField>
    <pivotField showAll="0"/>
    <pivotField numFmtId="1" showAll="0"/>
  </pivotFields>
  <rowFields count="1">
    <field x="11"/>
  </rowFields>
  <rowItems count="4">
    <i>
      <x v="1"/>
    </i>
    <i>
      <x v="2"/>
    </i>
    <i>
      <x/>
    </i>
    <i t="grand">
      <x/>
    </i>
  </rowItems>
  <colItems count="1">
    <i/>
  </colItems>
  <dataFields count="1">
    <dataField name="Sum of Revenue generated" fld="5" baseField="0" baseItem="0" numFmtId="169"/>
  </dataFields>
  <formats count="1">
    <format dxfId="4">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200-000018000000}" name="Average of Manufacturing cost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1:B25" firstHeaderRow="1" firstDataRow="1"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dataField="1" numFmtId="1" showAll="0"/>
    <pivotField showAll="0"/>
    <pivotField numFmtId="166" showAll="0"/>
    <pivotField showAll="0"/>
    <pivotField showAll="0"/>
    <pivotField numFmtId="1" showAll="0"/>
  </pivotFields>
  <rowFields count="1">
    <field x="0"/>
  </rowFields>
  <rowItems count="4">
    <i>
      <x/>
    </i>
    <i>
      <x v="1"/>
    </i>
    <i>
      <x v="2"/>
    </i>
    <i t="grand">
      <x/>
    </i>
  </rowItems>
  <colItems count="1">
    <i/>
  </colItems>
  <dataFields count="1">
    <dataField name="Average of Manufacturing costs" fld="18" subtotal="average" baseField="1" baseItem="78575356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200-000015000000}" name="Total Product Sold"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A5" firstHeaderRow="1" firstDataRow="1" firstDataCol="0"/>
  <pivotFields count="24">
    <pivotField showAll="0">
      <items count="4">
        <item x="2"/>
        <item x="0"/>
        <item x="1"/>
        <item t="default"/>
      </items>
    </pivotField>
    <pivotField showAll="0"/>
    <pivotField numFmtId="1" showAll="0"/>
    <pivotField showAll="0"/>
    <pivotField dataField="1"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Items count="1">
    <i/>
  </rowItems>
  <colItems count="1">
    <i/>
  </colItems>
  <dataFields count="1">
    <dataField name="Total Product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200-000017000000}" name="Total Production volume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8:B52" firstHeaderRow="1" firstDataRow="1"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dataField="1" showAll="0"/>
    <pivotField showAll="0"/>
    <pivotField numFmtId="1" showAll="0"/>
    <pivotField showAll="0"/>
    <pivotField numFmtId="166" showAll="0"/>
    <pivotField showAll="0"/>
    <pivotField showAll="0"/>
    <pivotField numFmtId="1" showAll="0"/>
  </pivotFields>
  <rowFields count="1">
    <field x="0"/>
  </rowFields>
  <rowItems count="4">
    <i>
      <x/>
    </i>
    <i>
      <x v="1"/>
    </i>
    <i>
      <x v="2"/>
    </i>
    <i t="grand">
      <x/>
    </i>
  </rowItems>
  <colItems count="1">
    <i/>
  </colItems>
  <dataFields count="1">
    <dataField name="Total Production volum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200-00000F000000}" name="Revenue Contribution by Locations"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location ref="A72:B78" firstHeaderRow="1" firstDataRow="1" firstDataCol="1"/>
  <pivotFields count="24">
    <pivotField showAll="0">
      <items count="4">
        <item h="1" x="2"/>
        <item h="1" x="0"/>
        <item x="1"/>
        <item t="default"/>
      </items>
    </pivotField>
    <pivotField showAll="0"/>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axis="axisRow" showAll="0" sortType="de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numFmtId="166" showAll="0"/>
    <pivotField showAll="0"/>
    <pivotField showAll="0"/>
    <pivotField numFmtId="1" showAll="0"/>
  </pivotFields>
  <rowFields count="1">
    <field x="14"/>
  </rowFields>
  <rowItems count="6">
    <i>
      <x v="3"/>
    </i>
    <i>
      <x v="1"/>
    </i>
    <i>
      <x v="4"/>
    </i>
    <i>
      <x/>
    </i>
    <i>
      <x v="2"/>
    </i>
    <i t="grand">
      <x/>
    </i>
  </rowItems>
  <colItems count="1">
    <i/>
  </colItems>
  <dataFields count="1">
    <dataField name="Sum of Revenue generated" fld="5" baseField="0" baseItem="0" numFmtId="169"/>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200-00000C000000}" name="Higest Selling Product"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7:B9" firstHeaderRow="1" firstDataRow="1" firstDataCol="1"/>
  <pivotFields count="24">
    <pivotField axis="axisRow" showAll="0" sortType="descending">
      <items count="4">
        <item h="1" x="2"/>
        <item h="1" x="0"/>
        <item x="1"/>
        <item t="default"/>
      </items>
      <autoSortScope>
        <pivotArea dataOnly="0" outline="0" fieldPosition="0">
          <references count="1">
            <reference field="4294967294" count="1" selected="0">
              <x v="0"/>
            </reference>
          </references>
        </pivotArea>
      </autoSortScope>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 showAll="0"/>
    <pivotField showAll="0"/>
    <pivotField dataField="1"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Fields count="1">
    <field x="0"/>
  </rowFields>
  <rowItems count="2">
    <i>
      <x v="2"/>
    </i>
    <i t="grand">
      <x/>
    </i>
  </rowItems>
  <colItems count="1">
    <i/>
  </colItems>
  <dataFields count="1">
    <dataField name="Higest Selling Produc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200-000011000000}" name="Total Revenu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24">
    <pivotField showAll="0"/>
    <pivotField showAll="0"/>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Items count="1">
    <i/>
  </rowItems>
  <colItems count="1">
    <i/>
  </colItems>
  <dataFields count="1">
    <dataField name="Total Revenue" fld="5" baseField="0" baseItem="0" numFmtId="16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200-00000D000000}"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24:B128" firstHeaderRow="1" firstDataRow="1" firstDataCol="1"/>
  <pivotFields count="24">
    <pivotField showAll="0">
      <items count="4">
        <item x="2"/>
        <item x="0"/>
        <item x="1"/>
        <item t="default"/>
      </items>
    </pivotField>
    <pivotField showAll="0"/>
    <pivotField numFmtId="1" showAll="0"/>
    <pivotField showAll="0"/>
    <pivotField showAll="0"/>
    <pivotField numFmtId="1" showAll="0"/>
    <pivotField showAll="0">
      <items count="5">
        <item x="1"/>
        <item x="3"/>
        <item x="0"/>
        <item x="2"/>
        <item t="default"/>
      </items>
    </pivotField>
    <pivotField showAll="0"/>
    <pivotField showAll="0"/>
    <pivotField showAll="0"/>
    <pivotField showAll="0"/>
    <pivotField axis="axisRow" showAll="0">
      <items count="4">
        <item x="1"/>
        <item x="0"/>
        <item x="2"/>
        <item t="default"/>
      </items>
    </pivotField>
    <pivotField numFmtId="1" showAll="0"/>
    <pivotField showAll="0">
      <items count="6">
        <item x="1"/>
        <item x="4"/>
        <item x="0"/>
        <item x="3"/>
        <item x="2"/>
        <item t="default"/>
      </items>
    </pivotField>
    <pivotField showAll="0"/>
    <pivotField dataField="1" showAll="0"/>
    <pivotField showAll="0"/>
    <pivotField showAll="0"/>
    <pivotField numFmtId="1" showAll="0"/>
    <pivotField showAll="0"/>
    <pivotField numFmtId="166" showAll="0"/>
    <pivotField showAll="0"/>
    <pivotField showAll="0"/>
    <pivotField numFmtId="1" showAll="0"/>
  </pivotFields>
  <rowFields count="1">
    <field x="11"/>
  </rowFields>
  <rowItems count="4">
    <i>
      <x/>
    </i>
    <i>
      <x v="1"/>
    </i>
    <i>
      <x v="2"/>
    </i>
    <i t="grand">
      <x/>
    </i>
  </rowItems>
  <colItems count="1">
    <i/>
  </colItems>
  <dataFields count="1">
    <dataField name="Sum of Lead time" fld="15" baseField="0" baseItem="0"/>
  </dataFields>
  <formats count="1">
    <format dxfId="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0000000-0007-0000-0200-000014000000}"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2:B46" firstHeaderRow="1" firstDataRow="1" firstDataCol="1"/>
  <pivotFields count="24">
    <pivotField axis="axisRow" showAll="0">
      <items count="4">
        <item x="2"/>
        <item x="0"/>
        <item x="1"/>
        <item t="default"/>
      </items>
    </pivotField>
    <pivotField showAll="0"/>
    <pivotField numFmtId="1"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dataField="1" numFmtId="166" showAll="0"/>
    <pivotField showAll="0"/>
    <pivotField showAll="0"/>
    <pivotField numFmtId="1" showAll="0"/>
  </pivotFields>
  <rowFields count="1">
    <field x="0"/>
  </rowFields>
  <rowItems count="4">
    <i>
      <x/>
    </i>
    <i>
      <x v="1"/>
    </i>
    <i>
      <x v="2"/>
    </i>
    <i t="grand">
      <x/>
    </i>
  </rowItems>
  <colItems count="1">
    <i/>
  </colItems>
  <dataFields count="1">
    <dataField name="Average of Defect rates" fld="20"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Revenue Contribution by Product"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5">
  <location ref="A55:B57" firstHeaderRow="1" firstDataRow="1" firstDataCol="1"/>
  <pivotFields count="24">
    <pivotField axis="axisRow" showAll="0" sortType="descending">
      <items count="4">
        <item h="1" x="2"/>
        <item h="1" x="0"/>
        <item x="1"/>
        <item t="default"/>
      </items>
      <autoSortScope>
        <pivotArea dataOnly="0" outline="0" fieldPosition="0">
          <references count="1">
            <reference field="4294967294" count="1" selected="0">
              <x v="0"/>
            </reference>
          </references>
        </pivotArea>
      </autoSortScope>
    </pivotField>
    <pivotField showAll="0" measureFilter="1">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 showAll="0"/>
    <pivotField showAll="0"/>
    <pivotField showAll="0"/>
    <pivotField dataField="1"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numFmtId="1" showAll="0"/>
    <pivotField showAll="0"/>
    <pivotField numFmtId="166" showAll="0"/>
    <pivotField showAll="0"/>
    <pivotField showAll="0"/>
    <pivotField numFmtId="1" showAll="0"/>
  </pivotFields>
  <rowFields count="1">
    <field x="0"/>
  </rowFields>
  <rowItems count="2">
    <i>
      <x v="2"/>
    </i>
    <i t="grand">
      <x/>
    </i>
  </rowItems>
  <colItems count="1">
    <i/>
  </colItems>
  <dataFields count="1">
    <dataField name="Revenue Contributed by Product" fld="5" baseField="0" baseItem="0" numFmtId="169"/>
  </dataFields>
  <formats count="2">
    <format dxfId="11">
      <pivotArea grandRow="1" outline="0" collapsedLevelsAreSubtotals="1" fieldPosition="0"/>
    </format>
    <format dxfId="10">
      <pivotArea outline="0" collapsedLevelsAreSubtotals="1" fieldPosition="0"/>
    </format>
  </format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00000000-0013-0000-FFFF-FFFF01000000}" sourceName="Product type">
  <pivotTables>
    <pivotTable tabId="3" name="Higest Selling Product"/>
    <pivotTable tabId="3" name="Revenue Contribution by Locations"/>
    <pivotTable tabId="3" name="Revenue Contribution by Product"/>
    <pivotTable tabId="3" name="Revenue Generated from Suppliers"/>
    <pivotTable tabId="3" name="Total Product Delivered By Carriers"/>
  </pivotTables>
  <data>
    <tabular pivotCacheId="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2" xr10:uid="{7B9CF5BE-0147-412A-BC50-9B04B79DF3BA}" sourceName="Product type">
  <pivotTables>
    <pivotTable tabId="8" name="PivotTable7"/>
  </pivotTables>
  <data>
    <tabular pivotCacheId="805886339">
      <items count="3">
        <i x="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67A354FA-091F-4470-B630-95C366E3687C}" sourceName="Shipping carriers">
  <pivotTables>
    <pivotTable tabId="8" name="PivotTable21"/>
    <pivotTable tabId="8" name="PivotTable33"/>
  </pivotTables>
  <data>
    <tabular pivotCacheId="805886339">
      <items count="3">
        <i x="1" s="1"/>
        <i x="0"/>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3" xr10:uid="{8128A561-3002-43CA-A5EC-FE3996B6FDCA}" sourceName="Product type">
  <pivotTables>
    <pivotTable tabId="8" name="PivotTable22"/>
  </pivotTables>
  <data>
    <tabular pivotCacheId="1">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CBCD9B24-55D5-4797-ACF0-58688F2F19B8}" cache="Slicer_Product_type2" caption="Product type" columnCount="3" style="SlicerStyleOther1" rowHeight="241300"/>
  <slicer name="Shipping carriers" xr10:uid="{52989DC4-B00D-4F7A-9565-C89635A5A586}" cache="Slicer_Shipping_carriers" caption="Shipping carriers" columnCount="3" style="SlicerStyleOther1" rowHeight="241300"/>
  <slicer name="Product type 2" xr10:uid="{E3302842-B074-4508-B158-404A2BB44455}" cache="Slicer_Product_type3" caption="Product type" columnCount="3"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000000-0014-0000-FFFF-FFFF01000000}" cache="Slicer_Product_type" caption="PRODUCT"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A2FE13-4093-4221-A6D5-B7D935F74405}" name="Table13" displayName="Table13" ref="A1:X101" totalsRowShown="0">
  <autoFilter ref="A1:X101" xr:uid="{15A2FE13-4093-4221-A6D5-B7D935F74405}"/>
  <tableColumns count="24">
    <tableColumn id="1" xr3:uid="{4EE95834-4C8D-4619-A2E1-9C0CD692F185}" name="Product type"/>
    <tableColumn id="2" xr3:uid="{4DBE9BB1-37E9-48BE-A648-7B7978C39473}" name="SKU"/>
    <tableColumn id="3" xr3:uid="{7C063CA6-0460-4C99-838D-A514415DB92F}" name="Price" dataDxfId="62"/>
    <tableColumn id="4" xr3:uid="{00509B0F-FF5F-4FA8-8782-5690BE64F9FD}" name="Availability"/>
    <tableColumn id="5" xr3:uid="{BC1BC05E-C8EA-4DD9-A314-A5B4EE685D39}" name="Number of products sold"/>
    <tableColumn id="6" xr3:uid="{C7639528-0413-4E35-92A6-9F026A605568}" name="Revenue generated" dataDxfId="61"/>
    <tableColumn id="7" xr3:uid="{88F688CA-67B7-4CEF-96D6-19BC1A14B759}" name="Customer demographics"/>
    <tableColumn id="8" xr3:uid="{65CC64E6-D04C-4866-B261-7F09A805B309}" name="Stock levels"/>
    <tableColumn id="9" xr3:uid="{86D678BA-E928-45F8-8D3C-DDC9EFE0B9A4}" name="Shipping_LT"/>
    <tableColumn id="10" xr3:uid="{7BB04C57-05E1-4D55-880C-E0567D868CA1}" name="Order quantities"/>
    <tableColumn id="11" xr3:uid="{4AD6147D-CB44-48F6-B629-179066C3D4DE}" name="Shipping times"/>
    <tableColumn id="12" xr3:uid="{E32B971A-46FC-48A2-A691-4A74FA5B414D}" name="Shipping carriers"/>
    <tableColumn id="13" xr3:uid="{93AA26D2-4703-432E-81D9-F5739BDB6E89}" name="Shipping costs" dataDxfId="60"/>
    <tableColumn id="14" xr3:uid="{B39391CD-D163-4EA8-BA5E-6C7B0EF353BC}" name="Supplier name"/>
    <tableColumn id="15" xr3:uid="{CDF2F4A3-B6B8-408D-83AB-4F0BE286C56D}" name="Location"/>
    <tableColumn id="16" xr3:uid="{CDBBBEC6-ED2B-4D2E-A872-90FC0B0E1EB8}" name="Supplier_LT"/>
    <tableColumn id="17" xr3:uid="{A37C510E-EA84-4DD2-948D-E67E3FA4D356}" name="Production volumes"/>
    <tableColumn id="18" xr3:uid="{20573EB1-ACB3-4B5E-A408-DFE824C888DE}" name="Mfg_LT"/>
    <tableColumn id="19" xr3:uid="{4393372A-B4B9-425D-B9BB-FC8510B00CF8}" name="Manufacturing costs" dataDxfId="59"/>
    <tableColumn id="20" xr3:uid="{30AA0A48-0F83-4E00-A824-68253245443C}" name="Inspection results"/>
    <tableColumn id="21" xr3:uid="{36B05504-D172-449C-8E26-A05A79083CD3}" name="Defect rates" dataDxfId="58"/>
    <tableColumn id="22" xr3:uid="{73349559-7956-49C4-8AB4-5DECCE792B74}" name="Transportation modes"/>
    <tableColumn id="23" xr3:uid="{FE17020D-765A-4996-B66F-C0A3722ED21F}" name="Routes"/>
    <tableColumn id="24" xr3:uid="{C689683B-36E6-4373-98E5-286AA4A7DF22}" name="Costs" dataDxfId="5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4886F1-AA61-41CA-9626-55042B0D03AE}" name="Table3" displayName="Table3" ref="Y1:Z101" totalsRowShown="0">
  <autoFilter ref="Y1:Z101" xr:uid="{724886F1-AA61-41CA-9626-55042B0D03AE}"/>
  <tableColumns count="2">
    <tableColumn id="1" xr3:uid="{94C9B0C1-6148-48D1-8EB8-30DDD350D747}" name="Total Lead Time" dataDxfId="56">
      <calculatedColumnFormula>Table13[[#This Row],[Shipping_LT]]+Table13[[#This Row],[Supplier_LT]]+Table13[[#This Row],[Mfg_LT]]</calculatedColumnFormula>
    </tableColumn>
    <tableColumn id="4" xr3:uid="{08EB5A28-B6D3-4934-8A2C-13C3EEE5A26F}" name="Column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101" totalsRowShown="0">
  <autoFilter ref="A1:X101" xr:uid="{00000000-0009-0000-0100-000001000000}"/>
  <tableColumns count="24">
    <tableColumn id="1" xr3:uid="{00000000-0010-0000-0000-000001000000}" name="Product type"/>
    <tableColumn id="2" xr3:uid="{00000000-0010-0000-0000-000002000000}" name="SKU"/>
    <tableColumn id="3" xr3:uid="{00000000-0010-0000-0000-000003000000}" name="Price" dataDxfId="55"/>
    <tableColumn id="4" xr3:uid="{00000000-0010-0000-0000-000004000000}" name="Availability"/>
    <tableColumn id="5" xr3:uid="{00000000-0010-0000-0000-000005000000}" name="Number of products sold"/>
    <tableColumn id="6" xr3:uid="{00000000-0010-0000-0000-000006000000}" name="Revenue generated" dataDxfId="54"/>
    <tableColumn id="7" xr3:uid="{00000000-0010-0000-0000-000007000000}" name="Customer demographics"/>
    <tableColumn id="8" xr3:uid="{00000000-0010-0000-0000-000008000000}" name="Stock levels"/>
    <tableColumn id="9" xr3:uid="{00000000-0010-0000-0000-000009000000}" name="Lead times"/>
    <tableColumn id="10" xr3:uid="{00000000-0010-0000-0000-00000A000000}" name="Order quantities"/>
    <tableColumn id="11" xr3:uid="{00000000-0010-0000-0000-00000B000000}" name="Shipping times"/>
    <tableColumn id="12" xr3:uid="{00000000-0010-0000-0000-00000C000000}" name="Shipping carriers"/>
    <tableColumn id="13" xr3:uid="{00000000-0010-0000-0000-00000D000000}" name="Shipping costs" dataDxfId="53"/>
    <tableColumn id="14" xr3:uid="{00000000-0010-0000-0000-00000E000000}" name="Supplier name"/>
    <tableColumn id="15" xr3:uid="{00000000-0010-0000-0000-00000F000000}" name="Location"/>
    <tableColumn id="16" xr3:uid="{00000000-0010-0000-0000-000010000000}" name="Lead time"/>
    <tableColumn id="17" xr3:uid="{00000000-0010-0000-0000-000011000000}" name="Production volumes"/>
    <tableColumn id="18" xr3:uid="{00000000-0010-0000-0000-000012000000}" name="Manufacturing lead time"/>
    <tableColumn id="19" xr3:uid="{00000000-0010-0000-0000-000013000000}" name="Manufacturing costs" dataDxfId="52"/>
    <tableColumn id="20" xr3:uid="{00000000-0010-0000-0000-000014000000}" name="Inspection results"/>
    <tableColumn id="21" xr3:uid="{00000000-0010-0000-0000-000015000000}" name="Defect rates" dataDxfId="51"/>
    <tableColumn id="22" xr3:uid="{00000000-0010-0000-0000-000016000000}" name="Transportation modes"/>
    <tableColumn id="23" xr3:uid="{00000000-0010-0000-0000-000017000000}" name="Routes"/>
    <tableColumn id="24" xr3:uid="{00000000-0010-0000-0000-000018000000}" name="Costs" dataDxfId="5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9.xml"/><Relationship Id="rId13" Type="http://schemas.openxmlformats.org/officeDocument/2006/relationships/pivotTable" Target="../pivotTables/pivotTable34.xml"/><Relationship Id="rId3" Type="http://schemas.openxmlformats.org/officeDocument/2006/relationships/pivotTable" Target="../pivotTables/pivotTable24.xml"/><Relationship Id="rId7" Type="http://schemas.openxmlformats.org/officeDocument/2006/relationships/pivotTable" Target="../pivotTables/pivotTable28.xml"/><Relationship Id="rId12" Type="http://schemas.openxmlformats.org/officeDocument/2006/relationships/pivotTable" Target="../pivotTables/pivotTable33.xml"/><Relationship Id="rId2" Type="http://schemas.openxmlformats.org/officeDocument/2006/relationships/pivotTable" Target="../pivotTables/pivotTable23.xml"/><Relationship Id="rId16" Type="http://schemas.microsoft.com/office/2007/relationships/slicer" Target="../slicers/slicer2.xml"/><Relationship Id="rId1" Type="http://schemas.openxmlformats.org/officeDocument/2006/relationships/pivotTable" Target="../pivotTables/pivotTable22.xml"/><Relationship Id="rId6" Type="http://schemas.openxmlformats.org/officeDocument/2006/relationships/pivotTable" Target="../pivotTables/pivotTable27.xml"/><Relationship Id="rId11" Type="http://schemas.openxmlformats.org/officeDocument/2006/relationships/pivotTable" Target="../pivotTables/pivotTable32.xml"/><Relationship Id="rId5" Type="http://schemas.openxmlformats.org/officeDocument/2006/relationships/pivotTable" Target="../pivotTables/pivotTable26.xml"/><Relationship Id="rId15" Type="http://schemas.openxmlformats.org/officeDocument/2006/relationships/drawing" Target="../drawings/drawing4.xml"/><Relationship Id="rId10" Type="http://schemas.openxmlformats.org/officeDocument/2006/relationships/pivotTable" Target="../pivotTables/pivotTable31.xml"/><Relationship Id="rId4" Type="http://schemas.openxmlformats.org/officeDocument/2006/relationships/pivotTable" Target="../pivotTables/pivotTable25.xml"/><Relationship Id="rId9" Type="http://schemas.openxmlformats.org/officeDocument/2006/relationships/pivotTable" Target="../pivotTables/pivotTable30.xml"/><Relationship Id="rId14" Type="http://schemas.openxmlformats.org/officeDocument/2006/relationships/pivotTable" Target="../pivotTables/pivot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E8A51-185B-42A0-BFCC-69046E350367}">
  <dimension ref="A1:V3"/>
  <sheetViews>
    <sheetView showGridLines="0" topLeftCell="A88" zoomScale="86" zoomScaleNormal="86" workbookViewId="0">
      <selection activeCell="G50" sqref="G50"/>
    </sheetView>
  </sheetViews>
  <sheetFormatPr defaultRowHeight="15" x14ac:dyDescent="0.25"/>
  <sheetData>
    <row r="1" spans="1:22" ht="36" x14ac:dyDescent="0.55000000000000004">
      <c r="E1" s="31" t="s">
        <v>209</v>
      </c>
      <c r="F1" s="31"/>
      <c r="G1" s="31"/>
      <c r="H1" s="31"/>
      <c r="I1" s="31"/>
      <c r="J1" s="31"/>
      <c r="K1" s="31"/>
      <c r="L1" s="31"/>
      <c r="M1" s="31"/>
      <c r="N1" s="31"/>
      <c r="O1" s="31"/>
      <c r="P1" s="31"/>
      <c r="Q1" s="31"/>
      <c r="R1" s="31"/>
    </row>
    <row r="2" spans="1:22" ht="18.75" x14ac:dyDescent="0.3">
      <c r="A2" s="30" t="s">
        <v>251</v>
      </c>
      <c r="B2" s="30"/>
      <c r="C2" s="30"/>
      <c r="D2" s="30"/>
      <c r="E2" s="30"/>
      <c r="F2" s="30"/>
      <c r="G2" s="30"/>
      <c r="H2" s="30"/>
      <c r="I2" s="30"/>
      <c r="J2" s="30"/>
      <c r="K2" s="30"/>
      <c r="L2" s="30"/>
      <c r="M2" s="30"/>
      <c r="N2" s="30"/>
      <c r="O2" s="30"/>
      <c r="P2" s="30"/>
      <c r="Q2" s="30"/>
      <c r="R2" s="30"/>
      <c r="S2" s="30"/>
      <c r="T2" s="30"/>
      <c r="U2" s="30"/>
      <c r="V2" s="30"/>
    </row>
    <row r="3" spans="1:22" ht="18.75" x14ac:dyDescent="0.3">
      <c r="A3" s="28" t="s">
        <v>253</v>
      </c>
      <c r="B3" s="27"/>
      <c r="C3" s="27"/>
      <c r="D3" s="27"/>
      <c r="E3" s="27"/>
      <c r="F3" s="27"/>
      <c r="G3" s="27"/>
      <c r="H3" s="27"/>
      <c r="I3" s="27"/>
      <c r="J3" s="27"/>
      <c r="K3" s="27"/>
      <c r="L3" s="27"/>
      <c r="M3" s="27"/>
      <c r="N3" s="27"/>
      <c r="O3" s="27"/>
      <c r="P3" s="27"/>
      <c r="Q3" s="27"/>
      <c r="R3" s="27"/>
      <c r="S3" s="27"/>
      <c r="T3" s="27"/>
      <c r="U3" s="27"/>
      <c r="V3" s="27"/>
    </row>
  </sheetData>
  <mergeCells count="2">
    <mergeCell ref="A2:V2"/>
    <mergeCell ref="E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EFC83-F19A-4611-A45A-F80E536698DE}">
  <dimension ref="A1:H54"/>
  <sheetViews>
    <sheetView tabSelected="1" workbookViewId="0">
      <selection activeCell="D52" sqref="D52"/>
    </sheetView>
  </sheetViews>
  <sheetFormatPr defaultRowHeight="15" x14ac:dyDescent="0.25"/>
  <sheetData>
    <row r="1" spans="1:7" ht="21" x14ac:dyDescent="0.35">
      <c r="G1" s="29" t="s">
        <v>254</v>
      </c>
    </row>
    <row r="2" spans="1:7" ht="18.75" x14ac:dyDescent="0.3">
      <c r="A2" s="21" t="s">
        <v>255</v>
      </c>
      <c r="B2" s="21"/>
    </row>
    <row r="3" spans="1:7" x14ac:dyDescent="0.25">
      <c r="A3" t="s">
        <v>210</v>
      </c>
    </row>
    <row r="4" spans="1:7" x14ac:dyDescent="0.25">
      <c r="A4" t="s">
        <v>211</v>
      </c>
    </row>
    <row r="6" spans="1:7" ht="18.75" x14ac:dyDescent="0.3">
      <c r="A6" s="21" t="s">
        <v>256</v>
      </c>
    </row>
    <row r="7" spans="1:7" x14ac:dyDescent="0.25">
      <c r="A7" t="s">
        <v>212</v>
      </c>
    </row>
    <row r="8" spans="1:7" x14ac:dyDescent="0.25">
      <c r="A8" t="s">
        <v>213</v>
      </c>
    </row>
    <row r="9" spans="1:7" x14ac:dyDescent="0.25">
      <c r="A9" t="s">
        <v>214</v>
      </c>
    </row>
    <row r="10" spans="1:7" x14ac:dyDescent="0.25">
      <c r="A10" t="s">
        <v>215</v>
      </c>
    </row>
    <row r="12" spans="1:7" ht="18.75" x14ac:dyDescent="0.3">
      <c r="A12" s="21" t="s">
        <v>216</v>
      </c>
    </row>
    <row r="13" spans="1:7" ht="15.75" x14ac:dyDescent="0.25">
      <c r="A13" t="s">
        <v>217</v>
      </c>
    </row>
    <row r="14" spans="1:7" ht="15.75" x14ac:dyDescent="0.25">
      <c r="A14" t="s">
        <v>218</v>
      </c>
    </row>
    <row r="15" spans="1:7" x14ac:dyDescent="0.25">
      <c r="A15" t="s">
        <v>219</v>
      </c>
    </row>
    <row r="16" spans="1:7" x14ac:dyDescent="0.25">
      <c r="A16" t="s">
        <v>220</v>
      </c>
    </row>
    <row r="17" spans="1:1" x14ac:dyDescent="0.25">
      <c r="A17" t="s">
        <v>221</v>
      </c>
    </row>
    <row r="18" spans="1:1" x14ac:dyDescent="0.25">
      <c r="A18" t="s">
        <v>222</v>
      </c>
    </row>
    <row r="19" spans="1:1" x14ac:dyDescent="0.25">
      <c r="A19" t="s">
        <v>223</v>
      </c>
    </row>
    <row r="20" spans="1:1" x14ac:dyDescent="0.25">
      <c r="A20" t="s">
        <v>224</v>
      </c>
    </row>
    <row r="21" spans="1:1" ht="15.75" x14ac:dyDescent="0.25">
      <c r="A21" t="s">
        <v>225</v>
      </c>
    </row>
    <row r="22" spans="1:1" x14ac:dyDescent="0.25">
      <c r="A22" t="s">
        <v>226</v>
      </c>
    </row>
    <row r="23" spans="1:1" x14ac:dyDescent="0.25">
      <c r="A23" t="s">
        <v>227</v>
      </c>
    </row>
    <row r="24" spans="1:1" x14ac:dyDescent="0.25">
      <c r="A24" t="s">
        <v>228</v>
      </c>
    </row>
    <row r="25" spans="1:1" x14ac:dyDescent="0.25">
      <c r="A25" t="s">
        <v>229</v>
      </c>
    </row>
    <row r="26" spans="1:1" x14ac:dyDescent="0.25">
      <c r="A26" t="s">
        <v>230</v>
      </c>
    </row>
    <row r="28" spans="1:1" ht="18.75" x14ac:dyDescent="0.3">
      <c r="A28" s="21" t="s">
        <v>257</v>
      </c>
    </row>
    <row r="29" spans="1:1" ht="15.75" x14ac:dyDescent="0.25">
      <c r="A29" t="s">
        <v>231</v>
      </c>
    </row>
    <row r="30" spans="1:1" ht="15.75" x14ac:dyDescent="0.25">
      <c r="A30" t="s">
        <v>232</v>
      </c>
    </row>
    <row r="31" spans="1:1" ht="15.75" x14ac:dyDescent="0.25">
      <c r="A31" t="s">
        <v>233</v>
      </c>
    </row>
    <row r="32" spans="1:1" ht="15.75" x14ac:dyDescent="0.25">
      <c r="A32" t="s">
        <v>234</v>
      </c>
    </row>
    <row r="33" spans="1:8" x14ac:dyDescent="0.25">
      <c r="A33" t="s">
        <v>235</v>
      </c>
      <c r="B33" s="34" t="s">
        <v>236</v>
      </c>
      <c r="C33" s="35"/>
      <c r="D33" s="25" t="s">
        <v>46</v>
      </c>
      <c r="E33" s="25" t="s">
        <v>64</v>
      </c>
      <c r="F33" s="25" t="s">
        <v>30</v>
      </c>
      <c r="G33" s="34" t="s">
        <v>237</v>
      </c>
      <c r="H33" s="35"/>
    </row>
    <row r="34" spans="1:8" x14ac:dyDescent="0.25">
      <c r="B34" s="36" t="s">
        <v>200</v>
      </c>
      <c r="C34" s="37"/>
      <c r="D34" s="24">
        <v>13</v>
      </c>
      <c r="E34" s="24">
        <v>6</v>
      </c>
      <c r="F34" s="24">
        <v>15</v>
      </c>
      <c r="G34" s="36">
        <v>34</v>
      </c>
      <c r="H34" s="37"/>
    </row>
    <row r="35" spans="1:8" x14ac:dyDescent="0.25">
      <c r="B35" s="36" t="s">
        <v>201</v>
      </c>
      <c r="C35" s="37"/>
      <c r="D35" s="24">
        <v>13</v>
      </c>
      <c r="E35" s="24">
        <v>11</v>
      </c>
      <c r="F35" s="24">
        <v>16</v>
      </c>
      <c r="G35" s="36">
        <v>40</v>
      </c>
      <c r="H35" s="37"/>
    </row>
    <row r="36" spans="1:8" x14ac:dyDescent="0.25">
      <c r="B36" s="36" t="s">
        <v>199</v>
      </c>
      <c r="C36" s="37"/>
      <c r="D36" s="24">
        <v>10</v>
      </c>
      <c r="E36" s="24">
        <v>6</v>
      </c>
      <c r="F36" s="24">
        <v>10</v>
      </c>
      <c r="G36" s="36">
        <v>26</v>
      </c>
      <c r="H36" s="37"/>
    </row>
    <row r="37" spans="1:8" x14ac:dyDescent="0.25">
      <c r="B37" s="38" t="s">
        <v>238</v>
      </c>
      <c r="C37" s="39"/>
      <c r="D37" s="26">
        <v>36</v>
      </c>
      <c r="E37" s="26">
        <v>23</v>
      </c>
      <c r="F37" s="26">
        <v>41</v>
      </c>
      <c r="G37" s="32">
        <v>100</v>
      </c>
      <c r="H37" s="33"/>
    </row>
    <row r="39" spans="1:8" x14ac:dyDescent="0.25">
      <c r="B39" s="19" t="s">
        <v>239</v>
      </c>
    </row>
    <row r="40" spans="1:8" x14ac:dyDescent="0.25">
      <c r="B40" s="19" t="s">
        <v>240</v>
      </c>
    </row>
    <row r="41" spans="1:8" x14ac:dyDescent="0.25">
      <c r="B41" s="19" t="s">
        <v>241</v>
      </c>
    </row>
    <row r="42" spans="1:8" x14ac:dyDescent="0.25">
      <c r="B42" s="19" t="s">
        <v>242</v>
      </c>
    </row>
    <row r="44" spans="1:8" ht="18.75" x14ac:dyDescent="0.3">
      <c r="A44" s="21" t="s">
        <v>258</v>
      </c>
    </row>
    <row r="45" spans="1:8" ht="15.75" x14ac:dyDescent="0.25">
      <c r="A45" t="s">
        <v>243</v>
      </c>
    </row>
    <row r="46" spans="1:8" ht="15.75" x14ac:dyDescent="0.25">
      <c r="A46" t="s">
        <v>244</v>
      </c>
    </row>
    <row r="47" spans="1:8" ht="15.75" x14ac:dyDescent="0.25">
      <c r="A47" t="s">
        <v>245</v>
      </c>
    </row>
    <row r="48" spans="1:8" ht="15.75" x14ac:dyDescent="0.25">
      <c r="A48" t="s">
        <v>246</v>
      </c>
    </row>
    <row r="50" spans="1:1" ht="18.75" x14ac:dyDescent="0.3">
      <c r="A50" s="21" t="s">
        <v>259</v>
      </c>
    </row>
    <row r="51" spans="1:1" ht="15.75" x14ac:dyDescent="0.25">
      <c r="A51" t="s">
        <v>247</v>
      </c>
    </row>
    <row r="52" spans="1:1" ht="15.75" x14ac:dyDescent="0.25">
      <c r="A52" t="s">
        <v>248</v>
      </c>
    </row>
    <row r="53" spans="1:1" ht="15.75" x14ac:dyDescent="0.25">
      <c r="A53" t="s">
        <v>249</v>
      </c>
    </row>
    <row r="54" spans="1:1" ht="15.75" x14ac:dyDescent="0.25">
      <c r="A54" t="s">
        <v>250</v>
      </c>
    </row>
  </sheetData>
  <mergeCells count="10">
    <mergeCell ref="G37:H37"/>
    <mergeCell ref="B33:C33"/>
    <mergeCell ref="G33:H33"/>
    <mergeCell ref="B34:C34"/>
    <mergeCell ref="B35:C35"/>
    <mergeCell ref="B36:C36"/>
    <mergeCell ref="B37:C37"/>
    <mergeCell ref="G34:H34"/>
    <mergeCell ref="G35:H35"/>
    <mergeCell ref="G36:H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FA92-8458-49CD-B039-2DC5B6282888}">
  <dimension ref="A3:X76"/>
  <sheetViews>
    <sheetView showGridLines="0" workbookViewId="0">
      <selection activeCell="A39" sqref="A39:F43"/>
    </sheetView>
  </sheetViews>
  <sheetFormatPr defaultRowHeight="15" x14ac:dyDescent="0.25"/>
  <cols>
    <col min="1" max="1" width="16.5703125" bestFit="1" customWidth="1"/>
    <col min="2" max="2" width="16.28515625" bestFit="1" customWidth="1"/>
    <col min="3" max="3" width="8.28515625" bestFit="1" customWidth="1"/>
    <col min="4" max="4" width="5.7109375" bestFit="1" customWidth="1"/>
    <col min="5" max="5" width="7.5703125" bestFit="1" customWidth="1"/>
    <col min="6" max="6" width="8.42578125" bestFit="1" customWidth="1"/>
    <col min="7" max="7" width="11.28515625" bestFit="1" customWidth="1"/>
    <col min="8" max="8" width="22.5703125" bestFit="1" customWidth="1"/>
    <col min="9" max="9" width="20.42578125" bestFit="1" customWidth="1"/>
    <col min="10" max="10" width="18.42578125" bestFit="1" customWidth="1"/>
    <col min="11" max="12" width="13.140625" bestFit="1" customWidth="1"/>
    <col min="13" max="13" width="25.28515625" bestFit="1" customWidth="1"/>
    <col min="14" max="14" width="21.7109375" bestFit="1" customWidth="1"/>
    <col min="15" max="15" width="7.85546875" bestFit="1" customWidth="1"/>
    <col min="16" max="16" width="13.140625" bestFit="1" customWidth="1"/>
    <col min="17" max="19" width="22" bestFit="1" customWidth="1"/>
    <col min="20" max="20" width="16.28515625" bestFit="1" customWidth="1"/>
    <col min="21" max="21" width="12" bestFit="1" customWidth="1"/>
    <col min="22" max="22" width="25.5703125" bestFit="1" customWidth="1"/>
    <col min="23" max="23" width="23.42578125" bestFit="1" customWidth="1"/>
    <col min="24" max="24" width="25.5703125" bestFit="1" customWidth="1"/>
    <col min="25" max="101" width="5" bestFit="1" customWidth="1"/>
    <col min="102" max="102" width="11.28515625" bestFit="1" customWidth="1"/>
  </cols>
  <sheetData>
    <row r="3" spans="1:24" x14ac:dyDescent="0.25">
      <c r="A3" s="1" t="s">
        <v>0</v>
      </c>
      <c r="B3" t="s">
        <v>181</v>
      </c>
      <c r="C3" t="s">
        <v>182</v>
      </c>
      <c r="D3" t="s">
        <v>183</v>
      </c>
      <c r="G3" s="1" t="s">
        <v>178</v>
      </c>
      <c r="H3" t="s">
        <v>190</v>
      </c>
      <c r="I3" t="s">
        <v>191</v>
      </c>
    </row>
    <row r="4" spans="1:24" x14ac:dyDescent="0.25">
      <c r="A4" s="2" t="s">
        <v>199</v>
      </c>
      <c r="B4" s="18">
        <v>15.384615384615385</v>
      </c>
      <c r="C4" s="18">
        <v>13.307692307692308</v>
      </c>
      <c r="D4" s="18">
        <v>13.538461538461538</v>
      </c>
      <c r="E4" s="2"/>
      <c r="G4" s="2" t="s">
        <v>184</v>
      </c>
      <c r="H4" s="5">
        <v>88.43328712801528</v>
      </c>
      <c r="I4" s="4">
        <v>2.9839562700702071</v>
      </c>
    </row>
    <row r="5" spans="1:24" x14ac:dyDescent="0.25">
      <c r="A5" s="2" t="s">
        <v>200</v>
      </c>
      <c r="B5" s="18">
        <v>15.529411764705882</v>
      </c>
      <c r="C5" s="18">
        <v>17.058823529411764</v>
      </c>
      <c r="D5" s="18">
        <v>18.705882352941178</v>
      </c>
      <c r="E5" s="2"/>
      <c r="G5" s="2" t="s">
        <v>185</v>
      </c>
      <c r="H5" s="5">
        <v>54.98793674845038</v>
      </c>
      <c r="I5" s="4">
        <v>2.0771775808396278</v>
      </c>
      <c r="W5" s="17" t="s">
        <v>178</v>
      </c>
      <c r="X5" s="17" t="s">
        <v>191</v>
      </c>
    </row>
    <row r="6" spans="1:24" x14ac:dyDescent="0.25">
      <c r="A6" s="2" t="s">
        <v>201</v>
      </c>
      <c r="B6" s="18">
        <v>16.7</v>
      </c>
      <c r="C6" s="18">
        <v>13.775</v>
      </c>
      <c r="D6" s="18">
        <v>18</v>
      </c>
      <c r="E6" s="2"/>
      <c r="G6" s="2" t="s">
        <v>186</v>
      </c>
      <c r="H6" s="5">
        <v>24.569947193717322</v>
      </c>
      <c r="I6" s="4">
        <v>0.9788330581533522</v>
      </c>
      <c r="W6" s="2" t="s">
        <v>184</v>
      </c>
      <c r="X6" s="4">
        <v>2.9839562700702071</v>
      </c>
    </row>
    <row r="7" spans="1:24" x14ac:dyDescent="0.25">
      <c r="A7" s="2" t="s">
        <v>155</v>
      </c>
      <c r="B7" s="18">
        <v>15.96</v>
      </c>
      <c r="C7" s="18">
        <v>14.77</v>
      </c>
      <c r="D7" s="18">
        <v>17.079999999999998</v>
      </c>
      <c r="G7" s="2" t="s">
        <v>187</v>
      </c>
      <c r="H7" s="5">
        <v>56.865908020073903</v>
      </c>
      <c r="I7" s="4">
        <v>2.6735111598105994</v>
      </c>
      <c r="Q7" s="1" t="s">
        <v>168</v>
      </c>
      <c r="R7" t="s">
        <v>203</v>
      </c>
      <c r="W7" s="2" t="s">
        <v>185</v>
      </c>
      <c r="X7" s="4">
        <v>2.0771775808396278</v>
      </c>
    </row>
    <row r="8" spans="1:24" x14ac:dyDescent="0.25">
      <c r="G8" s="2" t="s">
        <v>188</v>
      </c>
      <c r="H8" s="5">
        <v>42.991858652114963</v>
      </c>
      <c r="I8" s="4">
        <v>2.7244549517642258</v>
      </c>
      <c r="Q8" s="2" t="s">
        <v>199</v>
      </c>
      <c r="R8" s="18">
        <v>42.230769230769234</v>
      </c>
      <c r="W8" s="2" t="s">
        <v>186</v>
      </c>
      <c r="X8" s="4">
        <v>0.9788330581533522</v>
      </c>
    </row>
    <row r="9" spans="1:24" x14ac:dyDescent="0.25">
      <c r="G9" s="2" t="s">
        <v>189</v>
      </c>
      <c r="H9" s="5">
        <v>20.433923569682598</v>
      </c>
      <c r="I9" s="4">
        <v>3.1472470955765157</v>
      </c>
      <c r="Q9" s="2" t="s">
        <v>200</v>
      </c>
      <c r="R9" s="18">
        <v>51.294117647058826</v>
      </c>
      <c r="W9" s="2" t="s">
        <v>187</v>
      </c>
      <c r="X9" s="4">
        <v>2.6735111598105994</v>
      </c>
    </row>
    <row r="10" spans="1:24" x14ac:dyDescent="0.25">
      <c r="G10" s="2" t="s">
        <v>155</v>
      </c>
      <c r="H10" s="5">
        <v>48.993157373420878</v>
      </c>
      <c r="I10" s="4">
        <v>2.3346807819802331</v>
      </c>
      <c r="Q10" s="2" t="s">
        <v>201</v>
      </c>
      <c r="R10" s="18">
        <v>48.475000000000001</v>
      </c>
      <c r="W10" s="2" t="s">
        <v>188</v>
      </c>
      <c r="X10" s="4">
        <v>2.7244549517642258</v>
      </c>
    </row>
    <row r="11" spans="1:24" x14ac:dyDescent="0.25">
      <c r="Q11" s="2" t="s">
        <v>155</v>
      </c>
      <c r="R11" s="18">
        <v>47.81</v>
      </c>
      <c r="W11" s="2" t="s">
        <v>189</v>
      </c>
      <c r="X11" s="4">
        <v>3.1472470955765157</v>
      </c>
    </row>
    <row r="13" spans="1:24" x14ac:dyDescent="0.25">
      <c r="A13" s="1" t="s">
        <v>168</v>
      </c>
      <c r="B13" t="s">
        <v>197</v>
      </c>
      <c r="C13" t="s">
        <v>198</v>
      </c>
      <c r="F13" s="1" t="s">
        <v>168</v>
      </c>
      <c r="G13" t="s">
        <v>161</v>
      </c>
      <c r="H13" t="s">
        <v>192</v>
      </c>
    </row>
    <row r="14" spans="1:24" x14ac:dyDescent="0.25">
      <c r="A14" s="2" t="s">
        <v>199</v>
      </c>
      <c r="B14">
        <v>11757</v>
      </c>
      <c r="C14" s="5">
        <v>161521.26599948306</v>
      </c>
      <c r="F14" s="2" t="s">
        <v>199</v>
      </c>
      <c r="G14">
        <v>1525</v>
      </c>
      <c r="H14">
        <v>1332</v>
      </c>
    </row>
    <row r="15" spans="1:24" x14ac:dyDescent="0.25">
      <c r="A15" s="2" t="s">
        <v>200</v>
      </c>
      <c r="B15">
        <v>13611</v>
      </c>
      <c r="C15" s="5">
        <v>174455.39060546222</v>
      </c>
      <c r="F15" s="2" t="s">
        <v>200</v>
      </c>
      <c r="G15">
        <v>1644</v>
      </c>
      <c r="H15">
        <v>1471</v>
      </c>
    </row>
    <row r="16" spans="1:24" x14ac:dyDescent="0.25">
      <c r="A16" s="2" t="s">
        <v>201</v>
      </c>
      <c r="B16">
        <v>20731</v>
      </c>
      <c r="C16" s="5">
        <v>241628.16213306302</v>
      </c>
      <c r="F16" s="2" t="s">
        <v>201</v>
      </c>
      <c r="G16">
        <v>1608</v>
      </c>
      <c r="H16">
        <v>2037</v>
      </c>
      <c r="I16" s="17"/>
    </row>
    <row r="17" spans="1:14" x14ac:dyDescent="0.25">
      <c r="A17" s="2" t="s">
        <v>155</v>
      </c>
      <c r="B17">
        <v>46099</v>
      </c>
      <c r="C17" s="5">
        <v>577604.81873800838</v>
      </c>
      <c r="F17" s="2" t="s">
        <v>155</v>
      </c>
      <c r="G17">
        <v>4777</v>
      </c>
      <c r="H17">
        <v>4840</v>
      </c>
    </row>
    <row r="19" spans="1:14" x14ac:dyDescent="0.25">
      <c r="H19" s="1" t="s">
        <v>195</v>
      </c>
      <c r="I19" s="1" t="s">
        <v>157</v>
      </c>
    </row>
    <row r="20" spans="1:14" x14ac:dyDescent="0.25">
      <c r="B20" s="1" t="s">
        <v>157</v>
      </c>
      <c r="H20" s="1" t="s">
        <v>168</v>
      </c>
      <c r="I20" t="s">
        <v>53</v>
      </c>
      <c r="J20" t="s">
        <v>62</v>
      </c>
      <c r="K20" t="s">
        <v>50</v>
      </c>
      <c r="L20" t="s">
        <v>45</v>
      </c>
      <c r="M20" t="s">
        <v>29</v>
      </c>
      <c r="N20" t="s">
        <v>155</v>
      </c>
    </row>
    <row r="21" spans="1:14" x14ac:dyDescent="0.25">
      <c r="B21" t="s">
        <v>36</v>
      </c>
      <c r="D21" t="s">
        <v>194</v>
      </c>
      <c r="E21" t="s">
        <v>193</v>
      </c>
      <c r="H21" s="2" t="s">
        <v>39</v>
      </c>
      <c r="I21">
        <v>2</v>
      </c>
      <c r="J21">
        <v>3</v>
      </c>
      <c r="K21">
        <v>3</v>
      </c>
      <c r="L21">
        <v>3</v>
      </c>
      <c r="M21">
        <v>4</v>
      </c>
      <c r="N21">
        <v>15</v>
      </c>
    </row>
    <row r="22" spans="1:14" x14ac:dyDescent="0.25">
      <c r="A22" s="1" t="s">
        <v>168</v>
      </c>
      <c r="B22" t="s">
        <v>162</v>
      </c>
      <c r="C22" t="s">
        <v>163</v>
      </c>
      <c r="H22" s="2" t="s">
        <v>61</v>
      </c>
      <c r="J22">
        <v>1</v>
      </c>
      <c r="K22">
        <v>1</v>
      </c>
      <c r="L22">
        <v>2</v>
      </c>
      <c r="M22">
        <v>1</v>
      </c>
      <c r="N22">
        <v>5</v>
      </c>
    </row>
    <row r="23" spans="1:14" x14ac:dyDescent="0.25">
      <c r="A23" s="2" t="s">
        <v>199</v>
      </c>
      <c r="B23">
        <v>299</v>
      </c>
      <c r="C23" s="5">
        <v>28.80177612579466</v>
      </c>
      <c r="D23">
        <v>299</v>
      </c>
      <c r="E23" s="5">
        <v>28.80177612579466</v>
      </c>
      <c r="H23" s="2" t="s">
        <v>28</v>
      </c>
      <c r="I23">
        <v>2</v>
      </c>
      <c r="J23">
        <v>2</v>
      </c>
      <c r="K23">
        <v>1</v>
      </c>
      <c r="L23">
        <v>3</v>
      </c>
      <c r="M23">
        <v>1</v>
      </c>
      <c r="N23">
        <v>9</v>
      </c>
    </row>
    <row r="24" spans="1:14" x14ac:dyDescent="0.25">
      <c r="A24" s="2" t="s">
        <v>200</v>
      </c>
      <c r="B24">
        <v>373</v>
      </c>
      <c r="C24" s="5">
        <v>55.844746464641311</v>
      </c>
      <c r="D24">
        <v>373</v>
      </c>
      <c r="E24" s="5">
        <v>55.844746464641311</v>
      </c>
      <c r="H24" s="2" t="s">
        <v>52</v>
      </c>
      <c r="J24">
        <v>2</v>
      </c>
      <c r="L24">
        <v>1</v>
      </c>
      <c r="M24">
        <v>1</v>
      </c>
      <c r="N24">
        <v>4</v>
      </c>
    </row>
    <row r="25" spans="1:14" x14ac:dyDescent="0.25">
      <c r="A25" s="2" t="s">
        <v>201</v>
      </c>
      <c r="B25">
        <v>667</v>
      </c>
      <c r="C25" s="5">
        <v>70.891308015799524</v>
      </c>
      <c r="D25">
        <v>667</v>
      </c>
      <c r="E25" s="5">
        <v>70.891308015799524</v>
      </c>
      <c r="H25" s="2" t="s">
        <v>44</v>
      </c>
      <c r="I25">
        <v>2</v>
      </c>
      <c r="J25">
        <v>1</v>
      </c>
      <c r="L25">
        <v>4</v>
      </c>
      <c r="N25">
        <v>7</v>
      </c>
    </row>
    <row r="26" spans="1:14" x14ac:dyDescent="0.25">
      <c r="A26" s="2" t="s">
        <v>155</v>
      </c>
      <c r="B26">
        <v>1339</v>
      </c>
      <c r="C26" s="5">
        <v>155.5378306062355</v>
      </c>
      <c r="D26">
        <v>1339</v>
      </c>
      <c r="E26" s="5">
        <v>155.5378306062355</v>
      </c>
      <c r="H26" s="2" t="s">
        <v>155</v>
      </c>
      <c r="I26">
        <v>6</v>
      </c>
      <c r="J26">
        <v>9</v>
      </c>
      <c r="K26">
        <v>5</v>
      </c>
      <c r="L26">
        <v>13</v>
      </c>
      <c r="M26">
        <v>7</v>
      </c>
      <c r="N26">
        <v>40</v>
      </c>
    </row>
    <row r="29" spans="1:14" x14ac:dyDescent="0.25">
      <c r="A29" s="1" t="s">
        <v>164</v>
      </c>
      <c r="B29" s="1" t="s">
        <v>157</v>
      </c>
    </row>
    <row r="30" spans="1:14" x14ac:dyDescent="0.25">
      <c r="A30" s="1" t="s">
        <v>168</v>
      </c>
      <c r="B30" t="s">
        <v>48</v>
      </c>
      <c r="C30" t="s">
        <v>32</v>
      </c>
      <c r="D30" t="s">
        <v>41</v>
      </c>
      <c r="E30" t="s">
        <v>155</v>
      </c>
      <c r="G30" s="1" t="s">
        <v>196</v>
      </c>
      <c r="H30" s="1" t="s">
        <v>157</v>
      </c>
    </row>
    <row r="31" spans="1:14" x14ac:dyDescent="0.25">
      <c r="A31" s="2" t="s">
        <v>40</v>
      </c>
      <c r="B31" s="5">
        <v>5800.8874600935633</v>
      </c>
      <c r="C31" s="5">
        <v>4464.8580251157109</v>
      </c>
      <c r="D31" s="5">
        <v>4338.7820124044965</v>
      </c>
      <c r="E31" s="5">
        <v>14604.52749761377</v>
      </c>
      <c r="G31" s="1" t="s">
        <v>168</v>
      </c>
      <c r="H31" t="s">
        <v>199</v>
      </c>
      <c r="I31" t="s">
        <v>200</v>
      </c>
      <c r="J31" t="s">
        <v>201</v>
      </c>
      <c r="K31" t="s">
        <v>155</v>
      </c>
    </row>
    <row r="32" spans="1:14" x14ac:dyDescent="0.25">
      <c r="A32" s="2" t="s">
        <v>47</v>
      </c>
      <c r="B32" s="5">
        <v>6790.710511003429</v>
      </c>
      <c r="C32" s="5">
        <v>7007.4107414111277</v>
      </c>
      <c r="D32" s="5">
        <v>1370.8103061171159</v>
      </c>
      <c r="E32" s="5">
        <v>15168.931558531673</v>
      </c>
      <c r="G32" s="2" t="s">
        <v>46</v>
      </c>
      <c r="H32">
        <v>10</v>
      </c>
      <c r="I32">
        <v>13</v>
      </c>
      <c r="J32">
        <v>13</v>
      </c>
      <c r="K32">
        <v>36</v>
      </c>
    </row>
    <row r="33" spans="1:11" x14ac:dyDescent="0.25">
      <c r="A33" s="2" t="s">
        <v>31</v>
      </c>
      <c r="B33" s="5">
        <v>5934.412107152596</v>
      </c>
      <c r="C33" s="5">
        <v>7181.0851465099786</v>
      </c>
      <c r="D33" s="5">
        <v>2932.6963855323725</v>
      </c>
      <c r="E33" s="5">
        <v>16048.193639194948</v>
      </c>
      <c r="G33" s="2" t="s">
        <v>64</v>
      </c>
      <c r="H33">
        <v>6</v>
      </c>
      <c r="I33">
        <v>6</v>
      </c>
      <c r="J33">
        <v>11</v>
      </c>
      <c r="K33">
        <v>23</v>
      </c>
    </row>
    <row r="34" spans="1:11" x14ac:dyDescent="0.25">
      <c r="A34" s="2" t="s">
        <v>56</v>
      </c>
      <c r="B34" s="5">
        <v>2349.7644161035769</v>
      </c>
      <c r="C34" s="5">
        <v>3386.0301125645183</v>
      </c>
      <c r="D34" s="5">
        <v>1367.130991805574</v>
      </c>
      <c r="E34" s="5">
        <v>7102.9255204736692</v>
      </c>
      <c r="G34" s="2" t="s">
        <v>30</v>
      </c>
      <c r="H34">
        <v>10</v>
      </c>
      <c r="I34">
        <v>15</v>
      </c>
      <c r="J34">
        <v>16</v>
      </c>
      <c r="K34">
        <v>41</v>
      </c>
    </row>
    <row r="35" spans="1:11" x14ac:dyDescent="0.25">
      <c r="A35" s="2" t="s">
        <v>155</v>
      </c>
      <c r="B35" s="5">
        <v>20875.774494353165</v>
      </c>
      <c r="C35" s="5">
        <v>22039.384025601335</v>
      </c>
      <c r="D35" s="5">
        <v>10009.419695859558</v>
      </c>
      <c r="E35" s="5">
        <v>52924.578215814057</v>
      </c>
      <c r="G35" s="2" t="s">
        <v>155</v>
      </c>
      <c r="H35">
        <v>26</v>
      </c>
      <c r="I35">
        <v>34</v>
      </c>
      <c r="J35">
        <v>40</v>
      </c>
      <c r="K35">
        <v>100</v>
      </c>
    </row>
    <row r="61" spans="1:1" x14ac:dyDescent="0.25">
      <c r="A61" s="2"/>
    </row>
    <row r="62" spans="1:1" x14ac:dyDescent="0.25">
      <c r="A62" s="2"/>
    </row>
    <row r="71" spans="19:21" x14ac:dyDescent="0.25">
      <c r="S71" s="1" t="s">
        <v>180</v>
      </c>
      <c r="T71" s="1" t="s">
        <v>157</v>
      </c>
    </row>
    <row r="72" spans="19:21" x14ac:dyDescent="0.25">
      <c r="S72" s="1" t="s">
        <v>168</v>
      </c>
      <c r="T72" t="s">
        <v>36</v>
      </c>
      <c r="U72" t="s">
        <v>155</v>
      </c>
    </row>
    <row r="73" spans="19:21" x14ac:dyDescent="0.25">
      <c r="S73" s="2" t="s">
        <v>199</v>
      </c>
      <c r="T73">
        <v>15.4</v>
      </c>
      <c r="U73">
        <v>15.4</v>
      </c>
    </row>
    <row r="74" spans="19:21" x14ac:dyDescent="0.25">
      <c r="S74" s="2" t="s">
        <v>200</v>
      </c>
      <c r="T74">
        <v>11.666666666666666</v>
      </c>
      <c r="U74">
        <v>11.666666666666666</v>
      </c>
    </row>
    <row r="75" spans="19:21" x14ac:dyDescent="0.25">
      <c r="S75" s="2" t="s">
        <v>201</v>
      </c>
      <c r="T75">
        <v>16.928571428571427</v>
      </c>
      <c r="U75">
        <v>16.928571428571427</v>
      </c>
    </row>
    <row r="76" spans="19:21" x14ac:dyDescent="0.25">
      <c r="S76" s="2" t="s">
        <v>155</v>
      </c>
      <c r="T76">
        <v>14.964285714285714</v>
      </c>
      <c r="U76">
        <v>14.964285714285714</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C73F-A7F6-4B19-B500-DCE63A71F5E4}">
  <dimension ref="A1:AF101"/>
  <sheetViews>
    <sheetView topLeftCell="U1" workbookViewId="0">
      <selection activeCell="AD12" sqref="AD12"/>
    </sheetView>
  </sheetViews>
  <sheetFormatPr defaultRowHeight="15" x14ac:dyDescent="0.25"/>
  <cols>
    <col min="1" max="1" width="14.42578125" customWidth="1"/>
    <col min="4" max="4" width="13.140625" customWidth="1"/>
    <col min="5" max="5" width="25" customWidth="1"/>
    <col min="6" max="6" width="20.5703125" customWidth="1"/>
    <col min="7" max="7" width="25.140625" bestFit="1" customWidth="1"/>
    <col min="8" max="8" width="13.5703125" customWidth="1"/>
    <col min="9" max="9" width="12.7109375" customWidth="1"/>
    <col min="10" max="10" width="17.7109375" customWidth="1"/>
    <col min="11" max="11" width="16.28515625" customWidth="1"/>
    <col min="12" max="12" width="17.85546875" customWidth="1"/>
    <col min="13" max="13" width="15.7109375" customWidth="1"/>
    <col min="14" max="14" width="16" customWidth="1"/>
    <col min="15" max="15" width="10.5703125" customWidth="1"/>
    <col min="16" max="16" width="11.85546875" customWidth="1"/>
    <col min="17" max="17" width="20.85546875" customWidth="1"/>
    <col min="18" max="18" width="25" customWidth="1"/>
    <col min="19" max="19" width="21" customWidth="1"/>
    <col min="20" max="20" width="18.85546875" customWidth="1"/>
    <col min="21" max="21" width="13.85546875" customWidth="1"/>
    <col min="22" max="22" width="22.5703125" customWidth="1"/>
    <col min="23" max="23" width="9.28515625" customWidth="1"/>
    <col min="25" max="25" width="18.42578125" customWidth="1"/>
    <col min="26" max="26" width="11" customWidth="1"/>
    <col min="30" max="30" width="32.42578125" bestFit="1" customWidth="1"/>
  </cols>
  <sheetData>
    <row r="1" spans="1:32" x14ac:dyDescent="0.25">
      <c r="A1" t="s">
        <v>0</v>
      </c>
      <c r="B1" t="s">
        <v>1</v>
      </c>
      <c r="C1" t="s">
        <v>2</v>
      </c>
      <c r="D1" t="s">
        <v>3</v>
      </c>
      <c r="E1" t="s">
        <v>4</v>
      </c>
      <c r="F1" t="s">
        <v>5</v>
      </c>
      <c r="G1" t="s">
        <v>6</v>
      </c>
      <c r="H1" t="s">
        <v>7</v>
      </c>
      <c r="I1" t="s">
        <v>176</v>
      </c>
      <c r="J1" t="s">
        <v>9</v>
      </c>
      <c r="K1" t="s">
        <v>10</v>
      </c>
      <c r="L1" t="s">
        <v>11</v>
      </c>
      <c r="M1" t="s">
        <v>12</v>
      </c>
      <c r="N1" t="s">
        <v>13</v>
      </c>
      <c r="O1" t="s">
        <v>14</v>
      </c>
      <c r="P1" t="s">
        <v>177</v>
      </c>
      <c r="Q1" t="s">
        <v>16</v>
      </c>
      <c r="R1" t="s">
        <v>178</v>
      </c>
      <c r="S1" t="s">
        <v>18</v>
      </c>
      <c r="T1" t="s">
        <v>19</v>
      </c>
      <c r="U1" t="s">
        <v>20</v>
      </c>
      <c r="V1" t="s">
        <v>21</v>
      </c>
      <c r="W1" t="s">
        <v>22</v>
      </c>
      <c r="X1" t="s">
        <v>23</v>
      </c>
      <c r="Y1" t="s">
        <v>202</v>
      </c>
      <c r="Z1" t="s">
        <v>179</v>
      </c>
      <c r="AB1" t="s">
        <v>167</v>
      </c>
      <c r="AD1" s="23">
        <f>SUM(Table13[Revenue generated])</f>
        <v>577604.81873800792</v>
      </c>
    </row>
    <row r="2" spans="1:32" x14ac:dyDescent="0.25">
      <c r="A2" t="s">
        <v>200</v>
      </c>
      <c r="B2" t="s">
        <v>25</v>
      </c>
      <c r="C2" s="5">
        <v>69.808005542115694</v>
      </c>
      <c r="D2">
        <v>55</v>
      </c>
      <c r="E2">
        <v>802</v>
      </c>
      <c r="F2" s="5">
        <v>8661.9967923923796</v>
      </c>
      <c r="G2" t="s">
        <v>26</v>
      </c>
      <c r="H2">
        <v>58</v>
      </c>
      <c r="I2">
        <v>7</v>
      </c>
      <c r="J2">
        <v>96</v>
      </c>
      <c r="K2">
        <v>4</v>
      </c>
      <c r="L2" t="s">
        <v>27</v>
      </c>
      <c r="M2" s="5">
        <v>2.9565721394308002</v>
      </c>
      <c r="N2" t="s">
        <v>28</v>
      </c>
      <c r="O2" t="s">
        <v>29</v>
      </c>
      <c r="P2">
        <v>29</v>
      </c>
      <c r="Q2">
        <v>215</v>
      </c>
      <c r="R2">
        <v>29</v>
      </c>
      <c r="S2" s="5">
        <v>46.279879240508301</v>
      </c>
      <c r="T2" t="s">
        <v>30</v>
      </c>
      <c r="U2" s="4">
        <v>0.226410360849925</v>
      </c>
      <c r="V2" t="s">
        <v>31</v>
      </c>
      <c r="W2" t="s">
        <v>32</v>
      </c>
      <c r="X2" s="5">
        <v>187.75207545920301</v>
      </c>
      <c r="Y2">
        <f>Table13[[#This Row],[Shipping_LT]]+Table13[[#This Row],[Supplier_LT]]+Table13[[#This Row],[Mfg_LT]]</f>
        <v>65</v>
      </c>
    </row>
    <row r="3" spans="1:32" x14ac:dyDescent="0.25">
      <c r="A3" t="s">
        <v>201</v>
      </c>
      <c r="B3" t="s">
        <v>34</v>
      </c>
      <c r="C3" s="5">
        <v>14.8435232750843</v>
      </c>
      <c r="D3">
        <v>95</v>
      </c>
      <c r="E3">
        <v>736</v>
      </c>
      <c r="F3" s="5">
        <v>7460.9000654458396</v>
      </c>
      <c r="G3" t="s">
        <v>35</v>
      </c>
      <c r="H3">
        <v>53</v>
      </c>
      <c r="I3">
        <v>30</v>
      </c>
      <c r="J3">
        <v>37</v>
      </c>
      <c r="K3">
        <v>2</v>
      </c>
      <c r="L3" t="s">
        <v>36</v>
      </c>
      <c r="M3" s="5">
        <v>9.7165747714313095</v>
      </c>
      <c r="N3" t="s">
        <v>28</v>
      </c>
      <c r="O3" t="s">
        <v>29</v>
      </c>
      <c r="P3">
        <v>23</v>
      </c>
      <c r="Q3">
        <v>517</v>
      </c>
      <c r="R3">
        <v>30</v>
      </c>
      <c r="S3" s="5">
        <v>33.616768953730002</v>
      </c>
      <c r="T3" t="s">
        <v>30</v>
      </c>
      <c r="U3" s="4">
        <v>4.8540680263886999</v>
      </c>
      <c r="V3" t="s">
        <v>31</v>
      </c>
      <c r="W3" t="s">
        <v>32</v>
      </c>
      <c r="X3" s="5">
        <v>503.06557914966902</v>
      </c>
      <c r="Y3">
        <f>Table13[[#This Row],[Shipping_LT]]+Table13[[#This Row],[Supplier_LT]]+Table13[[#This Row],[Mfg_LT]]</f>
        <v>83</v>
      </c>
      <c r="AB3" t="s">
        <v>204</v>
      </c>
      <c r="AD3" s="22">
        <f>SUM(E2:E100)</f>
        <v>45472</v>
      </c>
    </row>
    <row r="4" spans="1:32" x14ac:dyDescent="0.25">
      <c r="A4" t="s">
        <v>200</v>
      </c>
      <c r="B4" t="s">
        <v>37</v>
      </c>
      <c r="C4" s="5">
        <v>11.319683293090501</v>
      </c>
      <c r="D4">
        <v>34</v>
      </c>
      <c r="E4">
        <v>8</v>
      </c>
      <c r="F4" s="5">
        <v>9577.7496258687297</v>
      </c>
      <c r="G4" t="s">
        <v>38</v>
      </c>
      <c r="H4">
        <v>1</v>
      </c>
      <c r="I4">
        <v>10</v>
      </c>
      <c r="J4">
        <v>88</v>
      </c>
      <c r="K4">
        <v>2</v>
      </c>
      <c r="L4" t="s">
        <v>27</v>
      </c>
      <c r="M4" s="5">
        <v>8.0544792617321495</v>
      </c>
      <c r="N4" t="s">
        <v>39</v>
      </c>
      <c r="O4" t="s">
        <v>29</v>
      </c>
      <c r="P4">
        <v>12</v>
      </c>
      <c r="Q4">
        <v>971</v>
      </c>
      <c r="R4">
        <v>27</v>
      </c>
      <c r="S4" s="5">
        <v>30.6880193482842</v>
      </c>
      <c r="T4" t="s">
        <v>30</v>
      </c>
      <c r="U4" s="4">
        <v>4.5805926191992201</v>
      </c>
      <c r="V4" t="s">
        <v>40</v>
      </c>
      <c r="W4" t="s">
        <v>41</v>
      </c>
      <c r="X4" s="5">
        <v>141.920281771519</v>
      </c>
      <c r="Y4">
        <f>Table13[[#This Row],[Shipping_LT]]+Table13[[#This Row],[Supplier_LT]]+Table13[[#This Row],[Mfg_LT]]</f>
        <v>49</v>
      </c>
    </row>
    <row r="5" spans="1:32" x14ac:dyDescent="0.25">
      <c r="A5" t="s">
        <v>201</v>
      </c>
      <c r="B5" t="s">
        <v>42</v>
      </c>
      <c r="C5" s="5">
        <v>61.1633430164377</v>
      </c>
      <c r="D5">
        <v>68</v>
      </c>
      <c r="E5">
        <v>83</v>
      </c>
      <c r="F5" s="5">
        <v>7766.8364256852301</v>
      </c>
      <c r="G5" t="s">
        <v>26</v>
      </c>
      <c r="H5">
        <v>23</v>
      </c>
      <c r="I5">
        <v>13</v>
      </c>
      <c r="J5">
        <v>59</v>
      </c>
      <c r="K5">
        <v>6</v>
      </c>
      <c r="L5" t="s">
        <v>43</v>
      </c>
      <c r="M5" s="5">
        <v>1.7295685635434199</v>
      </c>
      <c r="N5" t="s">
        <v>44</v>
      </c>
      <c r="O5" t="s">
        <v>45</v>
      </c>
      <c r="P5">
        <v>24</v>
      </c>
      <c r="Q5">
        <v>937</v>
      </c>
      <c r="R5">
        <v>18</v>
      </c>
      <c r="S5" s="5">
        <v>35.624741397125</v>
      </c>
      <c r="T5" t="s">
        <v>46</v>
      </c>
      <c r="U5" s="4">
        <v>4.7466486206477496</v>
      </c>
      <c r="V5" t="s">
        <v>47</v>
      </c>
      <c r="W5" t="s">
        <v>48</v>
      </c>
      <c r="X5" s="5">
        <v>254.776159219286</v>
      </c>
      <c r="Y5">
        <f>Table13[[#This Row],[Shipping_LT]]+Table13[[#This Row],[Supplier_LT]]+Table13[[#This Row],[Mfg_LT]]</f>
        <v>55</v>
      </c>
      <c r="AB5" t="s">
        <v>205</v>
      </c>
      <c r="AD5" s="22">
        <f>SUM(Table13[Production volumes])</f>
        <v>56784</v>
      </c>
    </row>
    <row r="6" spans="1:32" x14ac:dyDescent="0.25">
      <c r="A6" t="s">
        <v>201</v>
      </c>
      <c r="B6" t="s">
        <v>49</v>
      </c>
      <c r="C6" s="5">
        <v>4.8054960363458896</v>
      </c>
      <c r="D6">
        <v>26</v>
      </c>
      <c r="E6">
        <v>871</v>
      </c>
      <c r="F6" s="5">
        <v>2686.50515156744</v>
      </c>
      <c r="G6" t="s">
        <v>26</v>
      </c>
      <c r="H6">
        <v>5</v>
      </c>
      <c r="I6">
        <v>3</v>
      </c>
      <c r="J6">
        <v>56</v>
      </c>
      <c r="K6">
        <v>8</v>
      </c>
      <c r="L6" t="s">
        <v>36</v>
      </c>
      <c r="M6" s="5">
        <v>3.8905479158706702</v>
      </c>
      <c r="N6" t="s">
        <v>39</v>
      </c>
      <c r="O6" t="s">
        <v>50</v>
      </c>
      <c r="P6">
        <v>5</v>
      </c>
      <c r="Q6">
        <v>414</v>
      </c>
      <c r="R6">
        <v>3</v>
      </c>
      <c r="S6" s="5">
        <v>92.065160598712794</v>
      </c>
      <c r="T6" t="s">
        <v>46</v>
      </c>
      <c r="U6" s="4">
        <v>3.1455795228330001</v>
      </c>
      <c r="V6" t="s">
        <v>40</v>
      </c>
      <c r="W6" t="s">
        <v>48</v>
      </c>
      <c r="X6" s="5">
        <v>923.44063171192204</v>
      </c>
      <c r="Y6">
        <f>Table13[[#This Row],[Shipping_LT]]+Table13[[#This Row],[Supplier_LT]]+Table13[[#This Row],[Mfg_LT]]</f>
        <v>11</v>
      </c>
      <c r="AE6" s="13"/>
      <c r="AF6" s="15"/>
    </row>
    <row r="7" spans="1:32" x14ac:dyDescent="0.25">
      <c r="A7" t="s">
        <v>200</v>
      </c>
      <c r="B7" t="s">
        <v>51</v>
      </c>
      <c r="C7" s="5">
        <v>1.6999760138659299</v>
      </c>
      <c r="D7">
        <v>87</v>
      </c>
      <c r="E7">
        <v>147</v>
      </c>
      <c r="F7" s="5">
        <v>2828.3487459757498</v>
      </c>
      <c r="G7" t="s">
        <v>26</v>
      </c>
      <c r="H7">
        <v>90</v>
      </c>
      <c r="I7">
        <v>27</v>
      </c>
      <c r="J7">
        <v>66</v>
      </c>
      <c r="K7">
        <v>3</v>
      </c>
      <c r="L7" t="s">
        <v>27</v>
      </c>
      <c r="M7" s="5">
        <v>4.4440988643822896</v>
      </c>
      <c r="N7" t="s">
        <v>52</v>
      </c>
      <c r="O7" t="s">
        <v>53</v>
      </c>
      <c r="P7">
        <v>10</v>
      </c>
      <c r="Q7">
        <v>104</v>
      </c>
      <c r="R7">
        <v>17</v>
      </c>
      <c r="S7" s="5">
        <v>56.766475557431797</v>
      </c>
      <c r="T7" t="s">
        <v>46</v>
      </c>
      <c r="U7" s="4">
        <v>2.7791935115711599</v>
      </c>
      <c r="V7" t="s">
        <v>31</v>
      </c>
      <c r="W7" t="s">
        <v>48</v>
      </c>
      <c r="X7" s="5">
        <v>235.461236735537</v>
      </c>
      <c r="Y7">
        <f>Table13[[#This Row],[Shipping_LT]]+Table13[[#This Row],[Supplier_LT]]+Table13[[#This Row],[Mfg_LT]]</f>
        <v>54</v>
      </c>
      <c r="AE7" s="14"/>
      <c r="AF7" s="16"/>
    </row>
    <row r="8" spans="1:32" x14ac:dyDescent="0.25">
      <c r="A8" t="s">
        <v>201</v>
      </c>
      <c r="B8" t="s">
        <v>54</v>
      </c>
      <c r="C8" s="5">
        <v>4.0783328631079403</v>
      </c>
      <c r="D8">
        <v>48</v>
      </c>
      <c r="E8">
        <v>65</v>
      </c>
      <c r="F8" s="5">
        <v>7823.4765595317303</v>
      </c>
      <c r="G8" t="s">
        <v>55</v>
      </c>
      <c r="H8">
        <v>11</v>
      </c>
      <c r="I8">
        <v>15</v>
      </c>
      <c r="J8">
        <v>58</v>
      </c>
      <c r="K8">
        <v>8</v>
      </c>
      <c r="L8" t="s">
        <v>43</v>
      </c>
      <c r="M8" s="5">
        <v>3.8807633029519999</v>
      </c>
      <c r="N8" t="s">
        <v>28</v>
      </c>
      <c r="O8" t="s">
        <v>45</v>
      </c>
      <c r="P8">
        <v>14</v>
      </c>
      <c r="Q8">
        <v>314</v>
      </c>
      <c r="R8">
        <v>24</v>
      </c>
      <c r="S8" s="5">
        <v>1.0850685695870601</v>
      </c>
      <c r="T8" t="s">
        <v>30</v>
      </c>
      <c r="U8" s="4">
        <v>1.0009106193041299</v>
      </c>
      <c r="V8" t="s">
        <v>56</v>
      </c>
      <c r="W8" t="s">
        <v>48</v>
      </c>
      <c r="X8" s="5">
        <v>134.36909686103101</v>
      </c>
      <c r="Y8">
        <f>Table13[[#This Row],[Shipping_LT]]+Table13[[#This Row],[Supplier_LT]]+Table13[[#This Row],[Mfg_LT]]</f>
        <v>53</v>
      </c>
      <c r="AB8" t="s">
        <v>206</v>
      </c>
      <c r="AD8">
        <f>ROUND(AVERAGE(Table3[Total Lead Time]),0)</f>
        <v>48</v>
      </c>
      <c r="AE8" s="13"/>
      <c r="AF8" s="15"/>
    </row>
    <row r="9" spans="1:32" x14ac:dyDescent="0.25">
      <c r="A9" t="s">
        <v>199</v>
      </c>
      <c r="B9" t="s">
        <v>58</v>
      </c>
      <c r="C9" s="5">
        <v>42.958384382459997</v>
      </c>
      <c r="D9">
        <v>59</v>
      </c>
      <c r="E9">
        <v>426</v>
      </c>
      <c r="F9" s="5">
        <v>8496.1038130898305</v>
      </c>
      <c r="G9" t="s">
        <v>35</v>
      </c>
      <c r="H9">
        <v>93</v>
      </c>
      <c r="I9">
        <v>17</v>
      </c>
      <c r="J9">
        <v>11</v>
      </c>
      <c r="K9">
        <v>1</v>
      </c>
      <c r="L9" t="s">
        <v>27</v>
      </c>
      <c r="M9" s="5">
        <v>2.3483387844177801</v>
      </c>
      <c r="N9" t="s">
        <v>52</v>
      </c>
      <c r="O9" t="s">
        <v>53</v>
      </c>
      <c r="P9">
        <v>22</v>
      </c>
      <c r="Q9">
        <v>564</v>
      </c>
      <c r="R9">
        <v>1</v>
      </c>
      <c r="S9" s="5">
        <v>99.466108603599096</v>
      </c>
      <c r="T9" t="s">
        <v>46</v>
      </c>
      <c r="U9" s="4">
        <v>0.39817718685065001</v>
      </c>
      <c r="V9" t="s">
        <v>31</v>
      </c>
      <c r="W9" t="s">
        <v>41</v>
      </c>
      <c r="X9" s="5">
        <v>802.05631181755803</v>
      </c>
      <c r="Y9">
        <f>Table13[[#This Row],[Shipping_LT]]+Table13[[#This Row],[Supplier_LT]]+Table13[[#This Row],[Mfg_LT]]</f>
        <v>40</v>
      </c>
    </row>
    <row r="10" spans="1:32" x14ac:dyDescent="0.25">
      <c r="A10" t="s">
        <v>199</v>
      </c>
      <c r="B10" t="s">
        <v>59</v>
      </c>
      <c r="C10" s="5">
        <v>68.717596748527299</v>
      </c>
      <c r="D10">
        <v>78</v>
      </c>
      <c r="E10">
        <v>150</v>
      </c>
      <c r="F10" s="5">
        <v>7517.3632106311197</v>
      </c>
      <c r="G10" t="s">
        <v>35</v>
      </c>
      <c r="H10">
        <v>5</v>
      </c>
      <c r="I10">
        <v>10</v>
      </c>
      <c r="J10">
        <v>15</v>
      </c>
      <c r="K10">
        <v>7</v>
      </c>
      <c r="L10" t="s">
        <v>43</v>
      </c>
      <c r="M10" s="5">
        <v>3.4047338570830199</v>
      </c>
      <c r="N10" t="s">
        <v>52</v>
      </c>
      <c r="O10" t="s">
        <v>29</v>
      </c>
      <c r="P10">
        <v>13</v>
      </c>
      <c r="Q10">
        <v>769</v>
      </c>
      <c r="R10">
        <v>8</v>
      </c>
      <c r="S10" s="5">
        <v>11.423027139565599</v>
      </c>
      <c r="T10" t="s">
        <v>30</v>
      </c>
      <c r="U10" s="4">
        <v>2.7098626911099601</v>
      </c>
      <c r="V10" t="s">
        <v>56</v>
      </c>
      <c r="W10" t="s">
        <v>32</v>
      </c>
      <c r="X10" s="5">
        <v>505.55713422546398</v>
      </c>
      <c r="Y10">
        <f>Table13[[#This Row],[Shipping_LT]]+Table13[[#This Row],[Supplier_LT]]+Table13[[#This Row],[Mfg_LT]]</f>
        <v>31</v>
      </c>
      <c r="AB10" t="s">
        <v>207</v>
      </c>
      <c r="AD10" t="str">
        <f>INDEX(A2:A100,MATCH(MAX(Y2:Y100),Y2:Y100,0)) &amp; "-" &amp; MAX(Table3[Total Lead Time]) &amp; " days"</f>
        <v>Skincare-83 days</v>
      </c>
    </row>
    <row r="11" spans="1:32" x14ac:dyDescent="0.25">
      <c r="A11" t="s">
        <v>201</v>
      </c>
      <c r="B11" t="s">
        <v>60</v>
      </c>
      <c r="C11" s="5">
        <v>64.0157329412785</v>
      </c>
      <c r="D11">
        <v>35</v>
      </c>
      <c r="E11">
        <v>980</v>
      </c>
      <c r="F11" s="5">
        <v>4971.1459875855498</v>
      </c>
      <c r="G11" t="s">
        <v>38</v>
      </c>
      <c r="H11">
        <v>14</v>
      </c>
      <c r="I11">
        <v>27</v>
      </c>
      <c r="J11">
        <v>83</v>
      </c>
      <c r="K11">
        <v>1</v>
      </c>
      <c r="L11" t="s">
        <v>36</v>
      </c>
      <c r="M11" s="5">
        <v>7.1666452910482104</v>
      </c>
      <c r="N11" t="s">
        <v>61</v>
      </c>
      <c r="O11" t="s">
        <v>62</v>
      </c>
      <c r="P11">
        <v>29</v>
      </c>
      <c r="Q11">
        <v>963</v>
      </c>
      <c r="R11">
        <v>23</v>
      </c>
      <c r="S11" s="5">
        <v>47.957601634951502</v>
      </c>
      <c r="T11" t="s">
        <v>30</v>
      </c>
      <c r="U11" s="4">
        <v>3.8446144787675798</v>
      </c>
      <c r="V11" t="s">
        <v>47</v>
      </c>
      <c r="W11" t="s">
        <v>32</v>
      </c>
      <c r="X11" s="5">
        <v>995.92946149864099</v>
      </c>
      <c r="Y11">
        <f>Table13[[#This Row],[Shipping_LT]]+Table13[[#This Row],[Supplier_LT]]+Table13[[#This Row],[Mfg_LT]]</f>
        <v>79</v>
      </c>
    </row>
    <row r="12" spans="1:32" x14ac:dyDescent="0.25">
      <c r="A12" t="s">
        <v>201</v>
      </c>
      <c r="B12" t="s">
        <v>63</v>
      </c>
      <c r="C12" s="5">
        <v>15.707795681912099</v>
      </c>
      <c r="D12">
        <v>11</v>
      </c>
      <c r="E12">
        <v>996</v>
      </c>
      <c r="F12" s="5">
        <v>2330.9658020919401</v>
      </c>
      <c r="G12" t="s">
        <v>26</v>
      </c>
      <c r="H12">
        <v>51</v>
      </c>
      <c r="I12">
        <v>13</v>
      </c>
      <c r="J12">
        <v>80</v>
      </c>
      <c r="K12">
        <v>2</v>
      </c>
      <c r="L12" t="s">
        <v>43</v>
      </c>
      <c r="M12" s="5">
        <v>8.6732112112786108</v>
      </c>
      <c r="N12" t="s">
        <v>44</v>
      </c>
      <c r="O12" t="s">
        <v>45</v>
      </c>
      <c r="P12">
        <v>18</v>
      </c>
      <c r="Q12">
        <v>830</v>
      </c>
      <c r="R12">
        <v>5</v>
      </c>
      <c r="S12" s="5">
        <v>96.527352785310896</v>
      </c>
      <c r="T12" t="s">
        <v>64</v>
      </c>
      <c r="U12" s="4">
        <v>1.72731392835594</v>
      </c>
      <c r="V12" t="s">
        <v>31</v>
      </c>
      <c r="W12" t="s">
        <v>32</v>
      </c>
      <c r="X12" s="5">
        <v>806.10317770292295</v>
      </c>
      <c r="Y12">
        <f>Table13[[#This Row],[Shipping_LT]]+Table13[[#This Row],[Supplier_LT]]+Table13[[#This Row],[Mfg_LT]]</f>
        <v>36</v>
      </c>
    </row>
    <row r="13" spans="1:32" x14ac:dyDescent="0.25">
      <c r="A13" t="s">
        <v>201</v>
      </c>
      <c r="B13" t="s">
        <v>65</v>
      </c>
      <c r="C13" s="5">
        <v>90.635459982288594</v>
      </c>
      <c r="D13">
        <v>95</v>
      </c>
      <c r="E13">
        <v>960</v>
      </c>
      <c r="F13" s="5">
        <v>6099.9441155814502</v>
      </c>
      <c r="G13" t="s">
        <v>35</v>
      </c>
      <c r="H13">
        <v>46</v>
      </c>
      <c r="I13">
        <v>23</v>
      </c>
      <c r="J13">
        <v>60</v>
      </c>
      <c r="K13">
        <v>1</v>
      </c>
      <c r="L13" t="s">
        <v>36</v>
      </c>
      <c r="M13" s="5">
        <v>4.5239431243166601</v>
      </c>
      <c r="N13" t="s">
        <v>61</v>
      </c>
      <c r="O13" t="s">
        <v>45</v>
      </c>
      <c r="P13">
        <v>28</v>
      </c>
      <c r="Q13">
        <v>362</v>
      </c>
      <c r="R13">
        <v>11</v>
      </c>
      <c r="S13" s="5">
        <v>27.5923630866636</v>
      </c>
      <c r="T13" t="s">
        <v>30</v>
      </c>
      <c r="U13" s="4">
        <v>2.1169821372994301E-2</v>
      </c>
      <c r="V13" t="s">
        <v>40</v>
      </c>
      <c r="W13" t="s">
        <v>48</v>
      </c>
      <c r="X13" s="5">
        <v>126.72303340940699</v>
      </c>
      <c r="Y13">
        <f>Table13[[#This Row],[Shipping_LT]]+Table13[[#This Row],[Supplier_LT]]+Table13[[#This Row],[Mfg_LT]]</f>
        <v>62</v>
      </c>
    </row>
    <row r="14" spans="1:32" ht="23.25" x14ac:dyDescent="0.35">
      <c r="A14" t="s">
        <v>200</v>
      </c>
      <c r="B14" t="s">
        <v>66</v>
      </c>
      <c r="C14" s="5">
        <v>71.213389075359999</v>
      </c>
      <c r="D14">
        <v>41</v>
      </c>
      <c r="E14">
        <v>336</v>
      </c>
      <c r="F14" s="5">
        <v>2873.74144602144</v>
      </c>
      <c r="G14" t="s">
        <v>38</v>
      </c>
      <c r="H14">
        <v>100</v>
      </c>
      <c r="I14">
        <v>30</v>
      </c>
      <c r="J14">
        <v>85</v>
      </c>
      <c r="K14">
        <v>4</v>
      </c>
      <c r="L14" t="s">
        <v>36</v>
      </c>
      <c r="M14" s="5">
        <v>1.32527401018452</v>
      </c>
      <c r="N14" t="s">
        <v>52</v>
      </c>
      <c r="O14" t="s">
        <v>45</v>
      </c>
      <c r="P14">
        <v>3</v>
      </c>
      <c r="Q14">
        <v>563</v>
      </c>
      <c r="R14">
        <v>3</v>
      </c>
      <c r="S14" s="5">
        <v>32.321286213424003</v>
      </c>
      <c r="T14" t="s">
        <v>46</v>
      </c>
      <c r="U14" s="4">
        <v>2.1612537475559099</v>
      </c>
      <c r="V14" t="s">
        <v>31</v>
      </c>
      <c r="W14" t="s">
        <v>32</v>
      </c>
      <c r="X14" s="5">
        <v>402.96878907376998</v>
      </c>
      <c r="Y14">
        <f>Table13[[#This Row],[Shipping_LT]]+Table13[[#This Row],[Supplier_LT]]+Table13[[#This Row],[Mfg_LT]]</f>
        <v>36</v>
      </c>
      <c r="AB14" t="s">
        <v>208</v>
      </c>
      <c r="AD14" s="20" t="s">
        <v>252</v>
      </c>
    </row>
    <row r="15" spans="1:32" x14ac:dyDescent="0.25">
      <c r="A15" t="s">
        <v>201</v>
      </c>
      <c r="B15" t="s">
        <v>67</v>
      </c>
      <c r="C15" s="5">
        <v>16.160393317379899</v>
      </c>
      <c r="D15">
        <v>5</v>
      </c>
      <c r="E15">
        <v>249</v>
      </c>
      <c r="F15" s="5">
        <v>4052.7384162378598</v>
      </c>
      <c r="G15" t="s">
        <v>55</v>
      </c>
      <c r="H15">
        <v>80</v>
      </c>
      <c r="I15">
        <v>8</v>
      </c>
      <c r="J15">
        <v>48</v>
      </c>
      <c r="K15">
        <v>9</v>
      </c>
      <c r="L15" t="s">
        <v>36</v>
      </c>
      <c r="M15" s="5">
        <v>9.5372830611083295</v>
      </c>
      <c r="N15" t="s">
        <v>44</v>
      </c>
      <c r="O15" t="s">
        <v>53</v>
      </c>
      <c r="P15">
        <v>23</v>
      </c>
      <c r="Q15">
        <v>173</v>
      </c>
      <c r="R15">
        <v>10</v>
      </c>
      <c r="S15" s="5">
        <v>97.829050110173199</v>
      </c>
      <c r="T15" t="s">
        <v>30</v>
      </c>
      <c r="U15" s="4">
        <v>1.63107423007153</v>
      </c>
      <c r="V15" t="s">
        <v>31</v>
      </c>
      <c r="W15" t="s">
        <v>32</v>
      </c>
      <c r="X15" s="5">
        <v>547.24100516096803</v>
      </c>
      <c r="Y15">
        <f>Table13[[#This Row],[Shipping_LT]]+Table13[[#This Row],[Supplier_LT]]+Table13[[#This Row],[Mfg_LT]]</f>
        <v>41</v>
      </c>
    </row>
    <row r="16" spans="1:32" x14ac:dyDescent="0.25">
      <c r="A16" t="s">
        <v>201</v>
      </c>
      <c r="B16" t="s">
        <v>68</v>
      </c>
      <c r="C16" s="5">
        <v>99.171328638624104</v>
      </c>
      <c r="D16">
        <v>26</v>
      </c>
      <c r="E16">
        <v>562</v>
      </c>
      <c r="F16" s="5">
        <v>8653.5709264697998</v>
      </c>
      <c r="G16" t="s">
        <v>26</v>
      </c>
      <c r="H16">
        <v>54</v>
      </c>
      <c r="I16">
        <v>29</v>
      </c>
      <c r="J16">
        <v>78</v>
      </c>
      <c r="K16">
        <v>5</v>
      </c>
      <c r="L16" t="s">
        <v>27</v>
      </c>
      <c r="M16" s="5">
        <v>2.0397701894493299</v>
      </c>
      <c r="N16" t="s">
        <v>39</v>
      </c>
      <c r="O16" t="s">
        <v>45</v>
      </c>
      <c r="P16">
        <v>25</v>
      </c>
      <c r="Q16">
        <v>558</v>
      </c>
      <c r="R16">
        <v>14</v>
      </c>
      <c r="S16" s="5">
        <v>5.7914366298629796</v>
      </c>
      <c r="T16" t="s">
        <v>30</v>
      </c>
      <c r="U16" s="4">
        <v>0.100682851565093</v>
      </c>
      <c r="V16" t="s">
        <v>40</v>
      </c>
      <c r="W16" t="s">
        <v>32</v>
      </c>
      <c r="X16" s="5">
        <v>929.23528996088896</v>
      </c>
      <c r="Y16">
        <f>Table13[[#This Row],[Shipping_LT]]+Table13[[#This Row],[Supplier_LT]]+Table13[[#This Row],[Mfg_LT]]</f>
        <v>68</v>
      </c>
    </row>
    <row r="17" spans="1:25" x14ac:dyDescent="0.25">
      <c r="A17" t="s">
        <v>201</v>
      </c>
      <c r="B17" t="s">
        <v>69</v>
      </c>
      <c r="C17" s="5">
        <v>36.989244928626903</v>
      </c>
      <c r="D17">
        <v>94</v>
      </c>
      <c r="E17">
        <v>469</v>
      </c>
      <c r="F17" s="5">
        <v>5442.0867853976697</v>
      </c>
      <c r="G17" t="s">
        <v>26</v>
      </c>
      <c r="H17">
        <v>9</v>
      </c>
      <c r="I17">
        <v>8</v>
      </c>
      <c r="J17">
        <v>69</v>
      </c>
      <c r="K17">
        <v>7</v>
      </c>
      <c r="L17" t="s">
        <v>27</v>
      </c>
      <c r="M17" s="5">
        <v>2.4220397232752</v>
      </c>
      <c r="N17" t="s">
        <v>39</v>
      </c>
      <c r="O17" t="s">
        <v>53</v>
      </c>
      <c r="P17">
        <v>14</v>
      </c>
      <c r="Q17">
        <v>580</v>
      </c>
      <c r="R17">
        <v>7</v>
      </c>
      <c r="S17" s="5">
        <v>97.121281751474299</v>
      </c>
      <c r="T17" t="s">
        <v>64</v>
      </c>
      <c r="U17" s="4">
        <v>2.2644057611985402</v>
      </c>
      <c r="V17" t="s">
        <v>56</v>
      </c>
      <c r="W17" t="s">
        <v>32</v>
      </c>
      <c r="X17" s="5">
        <v>127.861800001625</v>
      </c>
      <c r="Y17">
        <f>Table13[[#This Row],[Shipping_LT]]+Table13[[#This Row],[Supplier_LT]]+Table13[[#This Row],[Mfg_LT]]</f>
        <v>29</v>
      </c>
    </row>
    <row r="18" spans="1:25" x14ac:dyDescent="0.25">
      <c r="A18" t="s">
        <v>201</v>
      </c>
      <c r="B18" t="s">
        <v>70</v>
      </c>
      <c r="C18" s="5">
        <v>7.5471721097912701</v>
      </c>
      <c r="D18">
        <v>74</v>
      </c>
      <c r="E18">
        <v>280</v>
      </c>
      <c r="F18" s="5">
        <v>6453.7979681762799</v>
      </c>
      <c r="G18" t="s">
        <v>35</v>
      </c>
      <c r="H18">
        <v>2</v>
      </c>
      <c r="I18">
        <v>5</v>
      </c>
      <c r="J18">
        <v>78</v>
      </c>
      <c r="K18">
        <v>1</v>
      </c>
      <c r="L18" t="s">
        <v>27</v>
      </c>
      <c r="M18" s="5">
        <v>4.1913245857054999</v>
      </c>
      <c r="N18" t="s">
        <v>39</v>
      </c>
      <c r="O18" t="s">
        <v>53</v>
      </c>
      <c r="P18">
        <v>3</v>
      </c>
      <c r="Q18">
        <v>399</v>
      </c>
      <c r="R18">
        <v>21</v>
      </c>
      <c r="S18" s="5">
        <v>77.106342497849994</v>
      </c>
      <c r="T18" t="s">
        <v>64</v>
      </c>
      <c r="U18" s="4">
        <v>1.01256308925804</v>
      </c>
      <c r="V18" t="s">
        <v>40</v>
      </c>
      <c r="W18" t="s">
        <v>48</v>
      </c>
      <c r="X18" s="5">
        <v>865.52577977123997</v>
      </c>
      <c r="Y18">
        <f>Table13[[#This Row],[Shipping_LT]]+Table13[[#This Row],[Supplier_LT]]+Table13[[#This Row],[Mfg_LT]]</f>
        <v>29</v>
      </c>
    </row>
    <row r="19" spans="1:25" x14ac:dyDescent="0.25">
      <c r="A19" t="s">
        <v>199</v>
      </c>
      <c r="B19" t="s">
        <v>71</v>
      </c>
      <c r="C19" s="5">
        <v>81.462534369237005</v>
      </c>
      <c r="D19">
        <v>82</v>
      </c>
      <c r="E19">
        <v>126</v>
      </c>
      <c r="F19" s="5">
        <v>2629.39643484526</v>
      </c>
      <c r="G19" t="s">
        <v>35</v>
      </c>
      <c r="H19">
        <v>45</v>
      </c>
      <c r="I19">
        <v>17</v>
      </c>
      <c r="J19">
        <v>85</v>
      </c>
      <c r="K19">
        <v>9</v>
      </c>
      <c r="L19" t="s">
        <v>43</v>
      </c>
      <c r="M19" s="5">
        <v>3.5854189582323399</v>
      </c>
      <c r="N19" t="s">
        <v>39</v>
      </c>
      <c r="O19" t="s">
        <v>62</v>
      </c>
      <c r="P19">
        <v>7</v>
      </c>
      <c r="Q19">
        <v>453</v>
      </c>
      <c r="R19">
        <v>16</v>
      </c>
      <c r="S19" s="5">
        <v>47.679680368355299</v>
      </c>
      <c r="T19" t="s">
        <v>46</v>
      </c>
      <c r="U19" s="4">
        <v>0.102020754918176</v>
      </c>
      <c r="V19" t="s">
        <v>40</v>
      </c>
      <c r="W19" t="s">
        <v>41</v>
      </c>
      <c r="X19" s="5">
        <v>670.93439079241</v>
      </c>
      <c r="Y19">
        <f>Table13[[#This Row],[Shipping_LT]]+Table13[[#This Row],[Supplier_LT]]+Table13[[#This Row],[Mfg_LT]]</f>
        <v>40</v>
      </c>
    </row>
    <row r="20" spans="1:25" x14ac:dyDescent="0.25">
      <c r="A20" t="s">
        <v>200</v>
      </c>
      <c r="B20" t="s">
        <v>72</v>
      </c>
      <c r="C20" s="5">
        <v>36.4436277704609</v>
      </c>
      <c r="D20">
        <v>23</v>
      </c>
      <c r="E20">
        <v>620</v>
      </c>
      <c r="F20" s="5">
        <v>9364.6735050761708</v>
      </c>
      <c r="G20" t="s">
        <v>38</v>
      </c>
      <c r="H20">
        <v>10</v>
      </c>
      <c r="I20">
        <v>10</v>
      </c>
      <c r="J20">
        <v>46</v>
      </c>
      <c r="K20">
        <v>8</v>
      </c>
      <c r="L20" t="s">
        <v>43</v>
      </c>
      <c r="M20" s="5">
        <v>4.3392247141107001</v>
      </c>
      <c r="N20" t="s">
        <v>61</v>
      </c>
      <c r="O20" t="s">
        <v>45</v>
      </c>
      <c r="P20">
        <v>18</v>
      </c>
      <c r="Q20">
        <v>374</v>
      </c>
      <c r="R20">
        <v>17</v>
      </c>
      <c r="S20" s="5">
        <v>27.107980854843898</v>
      </c>
      <c r="T20" t="s">
        <v>30</v>
      </c>
      <c r="U20" s="4">
        <v>2.2319391107292601</v>
      </c>
      <c r="V20" t="s">
        <v>56</v>
      </c>
      <c r="W20" t="s">
        <v>48</v>
      </c>
      <c r="X20" s="5">
        <v>593.48025872065102</v>
      </c>
      <c r="Y20">
        <f>Table13[[#This Row],[Shipping_LT]]+Table13[[#This Row],[Supplier_LT]]+Table13[[#This Row],[Mfg_LT]]</f>
        <v>45</v>
      </c>
    </row>
    <row r="21" spans="1:25" x14ac:dyDescent="0.25">
      <c r="A21" t="s">
        <v>201</v>
      </c>
      <c r="B21" t="s">
        <v>73</v>
      </c>
      <c r="C21" s="5">
        <v>51.123870087964697</v>
      </c>
      <c r="D21">
        <v>100</v>
      </c>
      <c r="E21">
        <v>187</v>
      </c>
      <c r="F21" s="5">
        <v>2553.4955849912099</v>
      </c>
      <c r="G21" t="s">
        <v>38</v>
      </c>
      <c r="H21">
        <v>48</v>
      </c>
      <c r="I21">
        <v>11</v>
      </c>
      <c r="J21">
        <v>94</v>
      </c>
      <c r="K21">
        <v>3</v>
      </c>
      <c r="L21" t="s">
        <v>36</v>
      </c>
      <c r="M21" s="5">
        <v>4.7426358828418698</v>
      </c>
      <c r="N21" t="s">
        <v>52</v>
      </c>
      <c r="O21" t="s">
        <v>62</v>
      </c>
      <c r="P21">
        <v>20</v>
      </c>
      <c r="Q21">
        <v>694</v>
      </c>
      <c r="R21">
        <v>16</v>
      </c>
      <c r="S21" s="5">
        <v>82.373320587990193</v>
      </c>
      <c r="T21" t="s">
        <v>46</v>
      </c>
      <c r="U21" s="4">
        <v>3.64645086541702</v>
      </c>
      <c r="V21" t="s">
        <v>31</v>
      </c>
      <c r="W21" t="s">
        <v>41</v>
      </c>
      <c r="X21" s="5">
        <v>477.30763109090299</v>
      </c>
      <c r="Y21">
        <f>Table13[[#This Row],[Shipping_LT]]+Table13[[#This Row],[Supplier_LT]]+Table13[[#This Row],[Mfg_LT]]</f>
        <v>47</v>
      </c>
    </row>
    <row r="22" spans="1:25" x14ac:dyDescent="0.25">
      <c r="A22" t="s">
        <v>201</v>
      </c>
      <c r="B22" t="s">
        <v>74</v>
      </c>
      <c r="C22" s="5">
        <v>96.341072439963298</v>
      </c>
      <c r="D22">
        <v>22</v>
      </c>
      <c r="E22">
        <v>320</v>
      </c>
      <c r="F22" s="5">
        <v>8128.0276968511898</v>
      </c>
      <c r="G22" t="s">
        <v>38</v>
      </c>
      <c r="H22">
        <v>27</v>
      </c>
      <c r="I22">
        <v>12</v>
      </c>
      <c r="J22">
        <v>68</v>
      </c>
      <c r="K22">
        <v>6</v>
      </c>
      <c r="L22" t="s">
        <v>36</v>
      </c>
      <c r="M22" s="5">
        <v>8.8783346509268402</v>
      </c>
      <c r="N22" t="s">
        <v>39</v>
      </c>
      <c r="O22" t="s">
        <v>62</v>
      </c>
      <c r="P22">
        <v>29</v>
      </c>
      <c r="Q22">
        <v>309</v>
      </c>
      <c r="R22">
        <v>6</v>
      </c>
      <c r="S22" s="5">
        <v>65.686259608488598</v>
      </c>
      <c r="T22" t="s">
        <v>64</v>
      </c>
      <c r="U22" s="4">
        <v>4.2314165735345304</v>
      </c>
      <c r="V22" t="s">
        <v>40</v>
      </c>
      <c r="W22" t="s">
        <v>32</v>
      </c>
      <c r="X22" s="5">
        <v>493.871215316205</v>
      </c>
      <c r="Y22">
        <f>Table13[[#This Row],[Shipping_LT]]+Table13[[#This Row],[Supplier_LT]]+Table13[[#This Row],[Mfg_LT]]</f>
        <v>47</v>
      </c>
    </row>
    <row r="23" spans="1:25" x14ac:dyDescent="0.25">
      <c r="A23" t="s">
        <v>199</v>
      </c>
      <c r="B23" t="s">
        <v>75</v>
      </c>
      <c r="C23" s="5">
        <v>84.893868984950799</v>
      </c>
      <c r="D23">
        <v>60</v>
      </c>
      <c r="E23">
        <v>601</v>
      </c>
      <c r="F23" s="5">
        <v>7087.0526963574302</v>
      </c>
      <c r="G23" t="s">
        <v>38</v>
      </c>
      <c r="H23">
        <v>69</v>
      </c>
      <c r="I23">
        <v>25</v>
      </c>
      <c r="J23">
        <v>7</v>
      </c>
      <c r="K23">
        <v>6</v>
      </c>
      <c r="L23" t="s">
        <v>27</v>
      </c>
      <c r="M23" s="5">
        <v>6.0378837692182898</v>
      </c>
      <c r="N23" t="s">
        <v>44</v>
      </c>
      <c r="O23" t="s">
        <v>62</v>
      </c>
      <c r="P23">
        <v>19</v>
      </c>
      <c r="Q23">
        <v>791</v>
      </c>
      <c r="R23">
        <v>4</v>
      </c>
      <c r="S23" s="5">
        <v>61.735728954160898</v>
      </c>
      <c r="T23" t="s">
        <v>30</v>
      </c>
      <c r="U23" s="4">
        <v>1.8607567631014899E-2</v>
      </c>
      <c r="V23" t="s">
        <v>40</v>
      </c>
      <c r="W23" t="s">
        <v>41</v>
      </c>
      <c r="X23" s="5">
        <v>523.36091472015801</v>
      </c>
      <c r="Y23">
        <f>Table13[[#This Row],[Shipping_LT]]+Table13[[#This Row],[Supplier_LT]]+Table13[[#This Row],[Mfg_LT]]</f>
        <v>48</v>
      </c>
    </row>
    <row r="24" spans="1:25" x14ac:dyDescent="0.25">
      <c r="A24" t="s">
        <v>200</v>
      </c>
      <c r="B24" t="s">
        <v>76</v>
      </c>
      <c r="C24" s="5">
        <v>27.679780886501899</v>
      </c>
      <c r="D24">
        <v>55</v>
      </c>
      <c r="E24">
        <v>884</v>
      </c>
      <c r="F24" s="5">
        <v>2390.8078665561702</v>
      </c>
      <c r="G24" t="s">
        <v>38</v>
      </c>
      <c r="H24">
        <v>71</v>
      </c>
      <c r="I24">
        <v>1</v>
      </c>
      <c r="J24">
        <v>63</v>
      </c>
      <c r="K24">
        <v>10</v>
      </c>
      <c r="L24" t="s">
        <v>36</v>
      </c>
      <c r="M24" s="5">
        <v>9.5676489209230393</v>
      </c>
      <c r="N24" t="s">
        <v>52</v>
      </c>
      <c r="O24" t="s">
        <v>45</v>
      </c>
      <c r="P24">
        <v>22</v>
      </c>
      <c r="Q24">
        <v>780</v>
      </c>
      <c r="R24">
        <v>28</v>
      </c>
      <c r="S24" s="5">
        <v>50.120839612977299</v>
      </c>
      <c r="T24" t="s">
        <v>46</v>
      </c>
      <c r="U24" s="4">
        <v>2.5912754732111098</v>
      </c>
      <c r="V24" t="s">
        <v>47</v>
      </c>
      <c r="W24" t="s">
        <v>41</v>
      </c>
      <c r="X24" s="5">
        <v>205.57199582694699</v>
      </c>
      <c r="Y24">
        <f>Table13[[#This Row],[Shipping_LT]]+Table13[[#This Row],[Supplier_LT]]+Table13[[#This Row],[Mfg_LT]]</f>
        <v>51</v>
      </c>
    </row>
    <row r="25" spans="1:25" x14ac:dyDescent="0.25">
      <c r="A25" t="s">
        <v>199</v>
      </c>
      <c r="B25" t="s">
        <v>77</v>
      </c>
      <c r="C25" s="5">
        <v>4.3243411858641601</v>
      </c>
      <c r="D25">
        <v>30</v>
      </c>
      <c r="E25">
        <v>391</v>
      </c>
      <c r="F25" s="5">
        <v>8858.3675710114803</v>
      </c>
      <c r="G25" t="s">
        <v>38</v>
      </c>
      <c r="H25">
        <v>84</v>
      </c>
      <c r="I25">
        <v>5</v>
      </c>
      <c r="J25">
        <v>29</v>
      </c>
      <c r="K25">
        <v>7</v>
      </c>
      <c r="L25" t="s">
        <v>36</v>
      </c>
      <c r="M25" s="5">
        <v>2.92485760114555</v>
      </c>
      <c r="N25" t="s">
        <v>44</v>
      </c>
      <c r="O25" t="s">
        <v>45</v>
      </c>
      <c r="P25">
        <v>11</v>
      </c>
      <c r="Q25">
        <v>568</v>
      </c>
      <c r="R25">
        <v>29</v>
      </c>
      <c r="S25" s="5">
        <v>98.6099572427038</v>
      </c>
      <c r="T25" t="s">
        <v>30</v>
      </c>
      <c r="U25" s="4">
        <v>1.3422915627227301</v>
      </c>
      <c r="V25" t="s">
        <v>47</v>
      </c>
      <c r="W25" t="s">
        <v>48</v>
      </c>
      <c r="X25" s="5">
        <v>196.329446112412</v>
      </c>
      <c r="Y25">
        <f>Table13[[#This Row],[Shipping_LT]]+Table13[[#This Row],[Supplier_LT]]+Table13[[#This Row],[Mfg_LT]]</f>
        <v>45</v>
      </c>
    </row>
    <row r="26" spans="1:25" x14ac:dyDescent="0.25">
      <c r="A26" t="s">
        <v>200</v>
      </c>
      <c r="B26" t="s">
        <v>78</v>
      </c>
      <c r="C26" s="5">
        <v>4.1563083593111001</v>
      </c>
      <c r="D26">
        <v>32</v>
      </c>
      <c r="E26">
        <v>209</v>
      </c>
      <c r="F26" s="5">
        <v>9049.0778609398894</v>
      </c>
      <c r="G26" t="s">
        <v>55</v>
      </c>
      <c r="H26">
        <v>4</v>
      </c>
      <c r="I26">
        <v>26</v>
      </c>
      <c r="J26">
        <v>2</v>
      </c>
      <c r="K26">
        <v>8</v>
      </c>
      <c r="L26" t="s">
        <v>43</v>
      </c>
      <c r="M26" s="5">
        <v>9.7412916892843597</v>
      </c>
      <c r="N26" t="s">
        <v>61</v>
      </c>
      <c r="O26" t="s">
        <v>53</v>
      </c>
      <c r="P26">
        <v>28</v>
      </c>
      <c r="Q26">
        <v>447</v>
      </c>
      <c r="R26">
        <v>3</v>
      </c>
      <c r="S26" s="5">
        <v>40.382359702924802</v>
      </c>
      <c r="T26" t="s">
        <v>30</v>
      </c>
      <c r="U26" s="4">
        <v>3.69131029262872</v>
      </c>
      <c r="V26" t="s">
        <v>40</v>
      </c>
      <c r="W26" t="s">
        <v>48</v>
      </c>
      <c r="X26" s="5">
        <v>758.72477260293795</v>
      </c>
      <c r="Y26">
        <f>Table13[[#This Row],[Shipping_LT]]+Table13[[#This Row],[Supplier_LT]]+Table13[[#This Row],[Mfg_LT]]</f>
        <v>57</v>
      </c>
    </row>
    <row r="27" spans="1:25" x14ac:dyDescent="0.25">
      <c r="A27" t="s">
        <v>200</v>
      </c>
      <c r="B27" t="s">
        <v>79</v>
      </c>
      <c r="C27" s="5">
        <v>39.629343985092603</v>
      </c>
      <c r="D27">
        <v>73</v>
      </c>
      <c r="E27">
        <v>142</v>
      </c>
      <c r="F27" s="5">
        <v>2174.7770543506499</v>
      </c>
      <c r="G27" t="s">
        <v>55</v>
      </c>
      <c r="H27">
        <v>82</v>
      </c>
      <c r="I27">
        <v>11</v>
      </c>
      <c r="J27">
        <v>52</v>
      </c>
      <c r="K27">
        <v>3</v>
      </c>
      <c r="L27" t="s">
        <v>43</v>
      </c>
      <c r="M27" s="5">
        <v>2.2310736812817198</v>
      </c>
      <c r="N27" t="s">
        <v>52</v>
      </c>
      <c r="O27" t="s">
        <v>45</v>
      </c>
      <c r="P27">
        <v>19</v>
      </c>
      <c r="Q27">
        <v>934</v>
      </c>
      <c r="R27">
        <v>23</v>
      </c>
      <c r="S27" s="5">
        <v>78.280383118415301</v>
      </c>
      <c r="T27" t="s">
        <v>30</v>
      </c>
      <c r="U27" s="4">
        <v>3.79723121711418</v>
      </c>
      <c r="V27" t="s">
        <v>31</v>
      </c>
      <c r="W27" t="s">
        <v>32</v>
      </c>
      <c r="X27" s="5">
        <v>458.53594573920901</v>
      </c>
      <c r="Y27">
        <f>Table13[[#This Row],[Shipping_LT]]+Table13[[#This Row],[Supplier_LT]]+Table13[[#This Row],[Mfg_LT]]</f>
        <v>53</v>
      </c>
    </row>
    <row r="28" spans="1:25" x14ac:dyDescent="0.25">
      <c r="A28" t="s">
        <v>200</v>
      </c>
      <c r="B28" t="s">
        <v>80</v>
      </c>
      <c r="C28" s="5">
        <v>97.446946617892806</v>
      </c>
      <c r="D28">
        <v>9</v>
      </c>
      <c r="E28">
        <v>353</v>
      </c>
      <c r="F28" s="5">
        <v>3716.49332589403</v>
      </c>
      <c r="G28" t="s">
        <v>55</v>
      </c>
      <c r="H28">
        <v>59</v>
      </c>
      <c r="I28">
        <v>16</v>
      </c>
      <c r="J28">
        <v>48</v>
      </c>
      <c r="K28">
        <v>4</v>
      </c>
      <c r="L28" t="s">
        <v>27</v>
      </c>
      <c r="M28" s="5">
        <v>6.5075486210785503</v>
      </c>
      <c r="N28" t="s">
        <v>61</v>
      </c>
      <c r="O28" t="s">
        <v>53</v>
      </c>
      <c r="P28">
        <v>26</v>
      </c>
      <c r="Q28">
        <v>171</v>
      </c>
      <c r="R28">
        <v>4</v>
      </c>
      <c r="S28" s="5">
        <v>15.972229757181699</v>
      </c>
      <c r="T28" t="s">
        <v>64</v>
      </c>
      <c r="U28" s="4">
        <v>2.1193197367249201</v>
      </c>
      <c r="V28" t="s">
        <v>47</v>
      </c>
      <c r="W28" t="s">
        <v>48</v>
      </c>
      <c r="X28" s="5">
        <v>617.86691645837698</v>
      </c>
      <c r="Y28">
        <f>Table13[[#This Row],[Shipping_LT]]+Table13[[#This Row],[Supplier_LT]]+Table13[[#This Row],[Mfg_LT]]</f>
        <v>46</v>
      </c>
    </row>
    <row r="29" spans="1:25" x14ac:dyDescent="0.25">
      <c r="A29" t="s">
        <v>199</v>
      </c>
      <c r="B29" t="s">
        <v>81</v>
      </c>
      <c r="C29" s="5">
        <v>92.557360812401996</v>
      </c>
      <c r="D29">
        <v>42</v>
      </c>
      <c r="E29">
        <v>352</v>
      </c>
      <c r="F29" s="5">
        <v>2686.4572235759802</v>
      </c>
      <c r="G29" t="s">
        <v>38</v>
      </c>
      <c r="H29">
        <v>47</v>
      </c>
      <c r="I29">
        <v>9</v>
      </c>
      <c r="J29">
        <v>62</v>
      </c>
      <c r="K29">
        <v>8</v>
      </c>
      <c r="L29" t="s">
        <v>43</v>
      </c>
      <c r="M29" s="5">
        <v>7.4067509529980704</v>
      </c>
      <c r="N29" t="s">
        <v>44</v>
      </c>
      <c r="O29" t="s">
        <v>29</v>
      </c>
      <c r="P29">
        <v>25</v>
      </c>
      <c r="Q29">
        <v>291</v>
      </c>
      <c r="R29">
        <v>4</v>
      </c>
      <c r="S29" s="5">
        <v>10.5282450700421</v>
      </c>
      <c r="T29" t="s">
        <v>46</v>
      </c>
      <c r="U29" s="4">
        <v>2.8646678378833701</v>
      </c>
      <c r="V29" t="s">
        <v>56</v>
      </c>
      <c r="W29" t="s">
        <v>32</v>
      </c>
      <c r="X29" s="5">
        <v>762.45918215568304</v>
      </c>
      <c r="Y29">
        <f>Table13[[#This Row],[Shipping_LT]]+Table13[[#This Row],[Supplier_LT]]+Table13[[#This Row],[Mfg_LT]]</f>
        <v>38</v>
      </c>
    </row>
    <row r="30" spans="1:25" x14ac:dyDescent="0.25">
      <c r="A30" t="s">
        <v>199</v>
      </c>
      <c r="B30" t="s">
        <v>82</v>
      </c>
      <c r="C30" s="5">
        <v>2.3972747055971402</v>
      </c>
      <c r="D30">
        <v>12</v>
      </c>
      <c r="E30">
        <v>394</v>
      </c>
      <c r="F30" s="5">
        <v>6117.3246150839896</v>
      </c>
      <c r="G30" t="s">
        <v>35</v>
      </c>
      <c r="H30">
        <v>48</v>
      </c>
      <c r="I30">
        <v>15</v>
      </c>
      <c r="J30">
        <v>24</v>
      </c>
      <c r="K30">
        <v>4</v>
      </c>
      <c r="L30" t="s">
        <v>27</v>
      </c>
      <c r="M30" s="5">
        <v>9.8981405080692202</v>
      </c>
      <c r="N30" t="s">
        <v>39</v>
      </c>
      <c r="O30" t="s">
        <v>29</v>
      </c>
      <c r="P30">
        <v>13</v>
      </c>
      <c r="Q30">
        <v>171</v>
      </c>
      <c r="R30">
        <v>7</v>
      </c>
      <c r="S30" s="5">
        <v>59.429381810691503</v>
      </c>
      <c r="T30" t="s">
        <v>46</v>
      </c>
      <c r="U30" s="4">
        <v>0.81575707929567198</v>
      </c>
      <c r="V30" t="s">
        <v>40</v>
      </c>
      <c r="W30" t="s">
        <v>48</v>
      </c>
      <c r="X30" s="5">
        <v>123.437027511827</v>
      </c>
      <c r="Y30">
        <f>Table13[[#This Row],[Shipping_LT]]+Table13[[#This Row],[Supplier_LT]]+Table13[[#This Row],[Mfg_LT]]</f>
        <v>35</v>
      </c>
    </row>
    <row r="31" spans="1:25" x14ac:dyDescent="0.25">
      <c r="A31" t="s">
        <v>199</v>
      </c>
      <c r="B31" t="s">
        <v>83</v>
      </c>
      <c r="C31" s="5">
        <v>63.447559185207297</v>
      </c>
      <c r="D31">
        <v>3</v>
      </c>
      <c r="E31">
        <v>253</v>
      </c>
      <c r="F31" s="5">
        <v>8318.9031946171708</v>
      </c>
      <c r="G31" t="s">
        <v>35</v>
      </c>
      <c r="H31">
        <v>45</v>
      </c>
      <c r="I31">
        <v>5</v>
      </c>
      <c r="J31">
        <v>67</v>
      </c>
      <c r="K31">
        <v>7</v>
      </c>
      <c r="L31" t="s">
        <v>27</v>
      </c>
      <c r="M31" s="5">
        <v>8.1009731453970293</v>
      </c>
      <c r="N31" t="s">
        <v>39</v>
      </c>
      <c r="O31" t="s">
        <v>45</v>
      </c>
      <c r="P31">
        <v>16</v>
      </c>
      <c r="Q31">
        <v>329</v>
      </c>
      <c r="R31">
        <v>7</v>
      </c>
      <c r="S31" s="5">
        <v>39.292875586065698</v>
      </c>
      <c r="T31" t="s">
        <v>64</v>
      </c>
      <c r="U31" s="4">
        <v>3.8780989365884802</v>
      </c>
      <c r="V31" t="s">
        <v>31</v>
      </c>
      <c r="W31" t="s">
        <v>32</v>
      </c>
      <c r="X31" s="5">
        <v>764.93537594070801</v>
      </c>
      <c r="Y31">
        <f>Table13[[#This Row],[Shipping_LT]]+Table13[[#This Row],[Supplier_LT]]+Table13[[#This Row],[Mfg_LT]]</f>
        <v>28</v>
      </c>
    </row>
    <row r="32" spans="1:25" x14ac:dyDescent="0.25">
      <c r="A32" t="s">
        <v>200</v>
      </c>
      <c r="B32" t="s">
        <v>84</v>
      </c>
      <c r="C32" s="5">
        <v>8.0228592105263896</v>
      </c>
      <c r="D32">
        <v>10</v>
      </c>
      <c r="E32">
        <v>327</v>
      </c>
      <c r="F32" s="5">
        <v>2766.3423668660798</v>
      </c>
      <c r="G32" t="s">
        <v>55</v>
      </c>
      <c r="H32">
        <v>60</v>
      </c>
      <c r="I32">
        <v>26</v>
      </c>
      <c r="J32">
        <v>35</v>
      </c>
      <c r="K32">
        <v>7</v>
      </c>
      <c r="L32" t="s">
        <v>27</v>
      </c>
      <c r="M32" s="5">
        <v>8.9545283153180097</v>
      </c>
      <c r="N32" t="s">
        <v>52</v>
      </c>
      <c r="O32" t="s">
        <v>45</v>
      </c>
      <c r="P32">
        <v>27</v>
      </c>
      <c r="Q32">
        <v>806</v>
      </c>
      <c r="R32">
        <v>30</v>
      </c>
      <c r="S32" s="5">
        <v>51.634893400109299</v>
      </c>
      <c r="T32" t="s">
        <v>30</v>
      </c>
      <c r="U32" s="4">
        <v>0.96539470535239302</v>
      </c>
      <c r="V32" t="s">
        <v>31</v>
      </c>
      <c r="W32" t="s">
        <v>41</v>
      </c>
      <c r="X32" s="5">
        <v>880.08098824716103</v>
      </c>
      <c r="Y32">
        <f>Table13[[#This Row],[Shipping_LT]]+Table13[[#This Row],[Supplier_LT]]+Table13[[#This Row],[Mfg_LT]]</f>
        <v>83</v>
      </c>
    </row>
    <row r="33" spans="1:25" x14ac:dyDescent="0.25">
      <c r="A33" t="s">
        <v>201</v>
      </c>
      <c r="B33" t="s">
        <v>85</v>
      </c>
      <c r="C33" s="5">
        <v>50.847393051718697</v>
      </c>
      <c r="D33">
        <v>28</v>
      </c>
      <c r="E33">
        <v>168</v>
      </c>
      <c r="F33" s="5">
        <v>9655.1351027193905</v>
      </c>
      <c r="G33" t="s">
        <v>55</v>
      </c>
      <c r="H33">
        <v>6</v>
      </c>
      <c r="I33">
        <v>17</v>
      </c>
      <c r="J33">
        <v>44</v>
      </c>
      <c r="K33">
        <v>4</v>
      </c>
      <c r="L33" t="s">
        <v>27</v>
      </c>
      <c r="M33" s="5">
        <v>2.6796609649813998</v>
      </c>
      <c r="N33" t="s">
        <v>28</v>
      </c>
      <c r="O33" t="s">
        <v>62</v>
      </c>
      <c r="P33">
        <v>24</v>
      </c>
      <c r="Q33">
        <v>461</v>
      </c>
      <c r="R33">
        <v>8</v>
      </c>
      <c r="S33" s="5">
        <v>60.251145661598002</v>
      </c>
      <c r="T33" t="s">
        <v>30</v>
      </c>
      <c r="U33" s="4">
        <v>2.9890000066550702</v>
      </c>
      <c r="V33" t="s">
        <v>47</v>
      </c>
      <c r="W33" t="s">
        <v>41</v>
      </c>
      <c r="X33" s="5">
        <v>609.379206618426</v>
      </c>
      <c r="Y33">
        <f>Table13[[#This Row],[Shipping_LT]]+Table13[[#This Row],[Supplier_LT]]+Table13[[#This Row],[Mfg_LT]]</f>
        <v>49</v>
      </c>
    </row>
    <row r="34" spans="1:25" x14ac:dyDescent="0.25">
      <c r="A34" t="s">
        <v>201</v>
      </c>
      <c r="B34" t="s">
        <v>86</v>
      </c>
      <c r="C34" s="5">
        <v>79.209936015656695</v>
      </c>
      <c r="D34">
        <v>43</v>
      </c>
      <c r="E34">
        <v>781</v>
      </c>
      <c r="F34" s="5">
        <v>9571.5504873278096</v>
      </c>
      <c r="G34" t="s">
        <v>38</v>
      </c>
      <c r="H34">
        <v>89</v>
      </c>
      <c r="I34">
        <v>13</v>
      </c>
      <c r="J34">
        <v>64</v>
      </c>
      <c r="K34">
        <v>4</v>
      </c>
      <c r="L34" t="s">
        <v>43</v>
      </c>
      <c r="M34" s="5">
        <v>6.5991049012385803</v>
      </c>
      <c r="N34" t="s">
        <v>28</v>
      </c>
      <c r="O34" t="s">
        <v>45</v>
      </c>
      <c r="P34">
        <v>30</v>
      </c>
      <c r="Q34">
        <v>737</v>
      </c>
      <c r="R34">
        <v>7</v>
      </c>
      <c r="S34" s="5">
        <v>29.6924671537497</v>
      </c>
      <c r="T34" t="s">
        <v>64</v>
      </c>
      <c r="U34" s="4">
        <v>1.94603611938611</v>
      </c>
      <c r="V34" t="s">
        <v>31</v>
      </c>
      <c r="W34" t="s">
        <v>48</v>
      </c>
      <c r="X34" s="5">
        <v>761.17390951487698</v>
      </c>
      <c r="Y34">
        <f>Table13[[#This Row],[Shipping_LT]]+Table13[[#This Row],[Supplier_LT]]+Table13[[#This Row],[Mfg_LT]]</f>
        <v>50</v>
      </c>
    </row>
    <row r="35" spans="1:25" x14ac:dyDescent="0.25">
      <c r="A35" t="s">
        <v>199</v>
      </c>
      <c r="B35" t="s">
        <v>87</v>
      </c>
      <c r="C35" s="5">
        <v>64.795435000155607</v>
      </c>
      <c r="D35">
        <v>63</v>
      </c>
      <c r="E35">
        <v>616</v>
      </c>
      <c r="F35" s="5">
        <v>5149.9983504080301</v>
      </c>
      <c r="G35" t="s">
        <v>26</v>
      </c>
      <c r="H35">
        <v>4</v>
      </c>
      <c r="I35">
        <v>17</v>
      </c>
      <c r="J35">
        <v>95</v>
      </c>
      <c r="K35">
        <v>9</v>
      </c>
      <c r="L35" t="s">
        <v>43</v>
      </c>
      <c r="M35" s="5">
        <v>4.85827050343664</v>
      </c>
      <c r="N35" t="s">
        <v>44</v>
      </c>
      <c r="O35" t="s">
        <v>62</v>
      </c>
      <c r="P35">
        <v>1</v>
      </c>
      <c r="Q35">
        <v>251</v>
      </c>
      <c r="R35">
        <v>23</v>
      </c>
      <c r="S35" s="5">
        <v>23.853427512896101</v>
      </c>
      <c r="T35" t="s">
        <v>46</v>
      </c>
      <c r="U35" s="4">
        <v>3.54104601225092</v>
      </c>
      <c r="V35" t="s">
        <v>56</v>
      </c>
      <c r="W35" t="s">
        <v>48</v>
      </c>
      <c r="X35" s="5">
        <v>371.25529551987103</v>
      </c>
      <c r="Y35">
        <f>Table13[[#This Row],[Shipping_LT]]+Table13[[#This Row],[Supplier_LT]]+Table13[[#This Row],[Mfg_LT]]</f>
        <v>41</v>
      </c>
    </row>
    <row r="36" spans="1:25" x14ac:dyDescent="0.25">
      <c r="A36" t="s">
        <v>201</v>
      </c>
      <c r="B36" t="s">
        <v>88</v>
      </c>
      <c r="C36" s="5">
        <v>37.467592329842397</v>
      </c>
      <c r="D36">
        <v>96</v>
      </c>
      <c r="E36">
        <v>602</v>
      </c>
      <c r="F36" s="5">
        <v>9061.7108955077201</v>
      </c>
      <c r="G36" t="s">
        <v>38</v>
      </c>
      <c r="H36">
        <v>1</v>
      </c>
      <c r="I36">
        <v>26</v>
      </c>
      <c r="J36">
        <v>21</v>
      </c>
      <c r="K36">
        <v>7</v>
      </c>
      <c r="L36" t="s">
        <v>36</v>
      </c>
      <c r="M36" s="5">
        <v>1.0194875708221101</v>
      </c>
      <c r="N36" t="s">
        <v>39</v>
      </c>
      <c r="O36" t="s">
        <v>62</v>
      </c>
      <c r="P36">
        <v>4</v>
      </c>
      <c r="Q36">
        <v>452</v>
      </c>
      <c r="R36">
        <v>10</v>
      </c>
      <c r="S36" s="5">
        <v>10.754272815029299</v>
      </c>
      <c r="T36" t="s">
        <v>64</v>
      </c>
      <c r="U36" s="4">
        <v>0.64660455937205397</v>
      </c>
      <c r="V36" t="s">
        <v>31</v>
      </c>
      <c r="W36" t="s">
        <v>32</v>
      </c>
      <c r="X36" s="5">
        <v>510.35800043352299</v>
      </c>
      <c r="Y36">
        <f>Table13[[#This Row],[Shipping_LT]]+Table13[[#This Row],[Supplier_LT]]+Table13[[#This Row],[Mfg_LT]]</f>
        <v>40</v>
      </c>
    </row>
    <row r="37" spans="1:25" x14ac:dyDescent="0.25">
      <c r="A37" t="s">
        <v>199</v>
      </c>
      <c r="B37" t="s">
        <v>89</v>
      </c>
      <c r="C37" s="5">
        <v>84.957786816350406</v>
      </c>
      <c r="D37">
        <v>11</v>
      </c>
      <c r="E37">
        <v>449</v>
      </c>
      <c r="F37" s="5">
        <v>6541.3293448024597</v>
      </c>
      <c r="G37" t="s">
        <v>35</v>
      </c>
      <c r="H37">
        <v>42</v>
      </c>
      <c r="I37">
        <v>27</v>
      </c>
      <c r="J37">
        <v>85</v>
      </c>
      <c r="K37">
        <v>8</v>
      </c>
      <c r="L37" t="s">
        <v>43</v>
      </c>
      <c r="M37" s="5">
        <v>5.2881899903273997</v>
      </c>
      <c r="N37" t="s">
        <v>39</v>
      </c>
      <c r="O37" t="s">
        <v>50</v>
      </c>
      <c r="P37">
        <v>3</v>
      </c>
      <c r="Q37">
        <v>367</v>
      </c>
      <c r="R37">
        <v>2</v>
      </c>
      <c r="S37" s="5">
        <v>58.004787044743701</v>
      </c>
      <c r="T37" t="s">
        <v>64</v>
      </c>
      <c r="U37" s="4">
        <v>0.54115409806058101</v>
      </c>
      <c r="V37" t="s">
        <v>56</v>
      </c>
      <c r="W37" t="s">
        <v>41</v>
      </c>
      <c r="X37" s="5">
        <v>553.42047123035502</v>
      </c>
      <c r="Y37">
        <f>Table13[[#This Row],[Shipping_LT]]+Table13[[#This Row],[Supplier_LT]]+Table13[[#This Row],[Mfg_LT]]</f>
        <v>32</v>
      </c>
    </row>
    <row r="38" spans="1:25" x14ac:dyDescent="0.25">
      <c r="A38" t="s">
        <v>201</v>
      </c>
      <c r="B38" t="s">
        <v>90</v>
      </c>
      <c r="C38" s="5">
        <v>9.81300257875405</v>
      </c>
      <c r="D38">
        <v>34</v>
      </c>
      <c r="E38">
        <v>963</v>
      </c>
      <c r="F38" s="5">
        <v>7573.4024578487297</v>
      </c>
      <c r="G38" t="s">
        <v>35</v>
      </c>
      <c r="H38">
        <v>18</v>
      </c>
      <c r="I38">
        <v>23</v>
      </c>
      <c r="J38">
        <v>28</v>
      </c>
      <c r="K38">
        <v>3</v>
      </c>
      <c r="L38" t="s">
        <v>27</v>
      </c>
      <c r="M38" s="5">
        <v>2.1079512671590801</v>
      </c>
      <c r="N38" t="s">
        <v>61</v>
      </c>
      <c r="O38" t="s">
        <v>50</v>
      </c>
      <c r="P38">
        <v>26</v>
      </c>
      <c r="Q38">
        <v>671</v>
      </c>
      <c r="R38">
        <v>19</v>
      </c>
      <c r="S38" s="5">
        <v>45.531364237162101</v>
      </c>
      <c r="T38" t="s">
        <v>46</v>
      </c>
      <c r="U38" s="4">
        <v>3.8055333792433501</v>
      </c>
      <c r="V38" t="s">
        <v>40</v>
      </c>
      <c r="W38" t="s">
        <v>41</v>
      </c>
      <c r="X38" s="5">
        <v>403.80897424817999</v>
      </c>
      <c r="Y38">
        <f>Table13[[#This Row],[Shipping_LT]]+Table13[[#This Row],[Supplier_LT]]+Table13[[#This Row],[Mfg_LT]]</f>
        <v>68</v>
      </c>
    </row>
    <row r="39" spans="1:25" x14ac:dyDescent="0.25">
      <c r="A39" t="s">
        <v>201</v>
      </c>
      <c r="B39" t="s">
        <v>91</v>
      </c>
      <c r="C39" s="5">
        <v>23.3998447526143</v>
      </c>
      <c r="D39">
        <v>5</v>
      </c>
      <c r="E39">
        <v>963</v>
      </c>
      <c r="F39" s="5">
        <v>2438.3399304700201</v>
      </c>
      <c r="G39" t="s">
        <v>35</v>
      </c>
      <c r="H39">
        <v>25</v>
      </c>
      <c r="I39">
        <v>8</v>
      </c>
      <c r="J39">
        <v>21</v>
      </c>
      <c r="K39">
        <v>9</v>
      </c>
      <c r="L39" t="s">
        <v>36</v>
      </c>
      <c r="M39" s="5">
        <v>1.53265527359043</v>
      </c>
      <c r="N39" t="s">
        <v>28</v>
      </c>
      <c r="O39" t="s">
        <v>45</v>
      </c>
      <c r="P39">
        <v>24</v>
      </c>
      <c r="Q39">
        <v>867</v>
      </c>
      <c r="R39">
        <v>15</v>
      </c>
      <c r="S39" s="5">
        <v>34.343277465075303</v>
      </c>
      <c r="T39" t="s">
        <v>30</v>
      </c>
      <c r="U39" s="4">
        <v>2.61028808484811</v>
      </c>
      <c r="V39" t="s">
        <v>56</v>
      </c>
      <c r="W39" t="s">
        <v>48</v>
      </c>
      <c r="X39" s="5">
        <v>183.932968043594</v>
      </c>
      <c r="Y39">
        <f>Table13[[#This Row],[Shipping_LT]]+Table13[[#This Row],[Supplier_LT]]+Table13[[#This Row],[Mfg_LT]]</f>
        <v>47</v>
      </c>
    </row>
    <row r="40" spans="1:25" x14ac:dyDescent="0.25">
      <c r="A40" t="s">
        <v>199</v>
      </c>
      <c r="B40" t="s">
        <v>92</v>
      </c>
      <c r="C40" s="5">
        <v>52.075930682707799</v>
      </c>
      <c r="D40">
        <v>75</v>
      </c>
      <c r="E40">
        <v>705</v>
      </c>
      <c r="F40" s="5">
        <v>9692.3180402184298</v>
      </c>
      <c r="G40" t="s">
        <v>26</v>
      </c>
      <c r="H40">
        <v>69</v>
      </c>
      <c r="I40">
        <v>1</v>
      </c>
      <c r="J40">
        <v>88</v>
      </c>
      <c r="K40">
        <v>5</v>
      </c>
      <c r="L40" t="s">
        <v>27</v>
      </c>
      <c r="M40" s="5">
        <v>9.2359314372492207</v>
      </c>
      <c r="N40" t="s">
        <v>44</v>
      </c>
      <c r="O40" t="s">
        <v>29</v>
      </c>
      <c r="P40">
        <v>10</v>
      </c>
      <c r="Q40">
        <v>841</v>
      </c>
      <c r="R40">
        <v>12</v>
      </c>
      <c r="S40" s="5">
        <v>5.9306936455283097</v>
      </c>
      <c r="T40" t="s">
        <v>30</v>
      </c>
      <c r="U40" s="4">
        <v>0.613326899164507</v>
      </c>
      <c r="V40" t="s">
        <v>40</v>
      </c>
      <c r="W40" t="s">
        <v>32</v>
      </c>
      <c r="X40" s="5">
        <v>339.67286994860598</v>
      </c>
      <c r="Y40">
        <f>Table13[[#This Row],[Shipping_LT]]+Table13[[#This Row],[Supplier_LT]]+Table13[[#This Row],[Mfg_LT]]</f>
        <v>23</v>
      </c>
    </row>
    <row r="41" spans="1:25" x14ac:dyDescent="0.25">
      <c r="A41" t="s">
        <v>201</v>
      </c>
      <c r="B41" t="s">
        <v>93</v>
      </c>
      <c r="C41" s="5">
        <v>19.127477265823199</v>
      </c>
      <c r="D41">
        <v>26</v>
      </c>
      <c r="E41">
        <v>176</v>
      </c>
      <c r="F41" s="5">
        <v>1912.4656631007599</v>
      </c>
      <c r="G41" t="s">
        <v>35</v>
      </c>
      <c r="H41">
        <v>78</v>
      </c>
      <c r="I41">
        <v>29</v>
      </c>
      <c r="J41">
        <v>34</v>
      </c>
      <c r="K41">
        <v>3</v>
      </c>
      <c r="L41" t="s">
        <v>36</v>
      </c>
      <c r="M41" s="5">
        <v>5.5625037788303802</v>
      </c>
      <c r="N41" t="s">
        <v>61</v>
      </c>
      <c r="O41" t="s">
        <v>45</v>
      </c>
      <c r="P41">
        <v>30</v>
      </c>
      <c r="Q41">
        <v>791</v>
      </c>
      <c r="R41">
        <v>6</v>
      </c>
      <c r="S41" s="5">
        <v>9.0058074287816403</v>
      </c>
      <c r="T41" t="s">
        <v>46</v>
      </c>
      <c r="U41" s="4">
        <v>1.4519722039968099</v>
      </c>
      <c r="V41" t="s">
        <v>40</v>
      </c>
      <c r="W41" t="s">
        <v>32</v>
      </c>
      <c r="X41" s="5">
        <v>653.67299455203295</v>
      </c>
      <c r="Y41">
        <f>Table13[[#This Row],[Shipping_LT]]+Table13[[#This Row],[Supplier_LT]]+Table13[[#This Row],[Mfg_LT]]</f>
        <v>65</v>
      </c>
    </row>
    <row r="42" spans="1:25" x14ac:dyDescent="0.25">
      <c r="A42" t="s">
        <v>201</v>
      </c>
      <c r="B42" t="s">
        <v>94</v>
      </c>
      <c r="C42" s="5">
        <v>80.541424170940303</v>
      </c>
      <c r="D42">
        <v>97</v>
      </c>
      <c r="E42">
        <v>933</v>
      </c>
      <c r="F42" s="5">
        <v>5724.9593504562599</v>
      </c>
      <c r="G42" t="s">
        <v>35</v>
      </c>
      <c r="H42">
        <v>90</v>
      </c>
      <c r="I42">
        <v>20</v>
      </c>
      <c r="J42">
        <v>39</v>
      </c>
      <c r="K42">
        <v>8</v>
      </c>
      <c r="L42" t="s">
        <v>43</v>
      </c>
      <c r="M42" s="5">
        <v>7.2295951397364702</v>
      </c>
      <c r="N42" t="s">
        <v>39</v>
      </c>
      <c r="O42" t="s">
        <v>45</v>
      </c>
      <c r="P42">
        <v>18</v>
      </c>
      <c r="Q42">
        <v>793</v>
      </c>
      <c r="R42">
        <v>1</v>
      </c>
      <c r="S42" s="5">
        <v>88.179407104217404</v>
      </c>
      <c r="T42" t="s">
        <v>30</v>
      </c>
      <c r="U42" s="4">
        <v>4.2132694305865597</v>
      </c>
      <c r="V42" t="s">
        <v>31</v>
      </c>
      <c r="W42" t="s">
        <v>48</v>
      </c>
      <c r="X42" s="5">
        <v>529.80872398069096</v>
      </c>
      <c r="Y42">
        <f>Table13[[#This Row],[Shipping_LT]]+Table13[[#This Row],[Supplier_LT]]+Table13[[#This Row],[Mfg_LT]]</f>
        <v>39</v>
      </c>
    </row>
    <row r="43" spans="1:25" x14ac:dyDescent="0.25">
      <c r="A43" t="s">
        <v>201</v>
      </c>
      <c r="B43" t="s">
        <v>95</v>
      </c>
      <c r="C43" s="5">
        <v>99.113291615317095</v>
      </c>
      <c r="D43">
        <v>35</v>
      </c>
      <c r="E43">
        <v>556</v>
      </c>
      <c r="F43" s="5">
        <v>5521.2052590109697</v>
      </c>
      <c r="G43" t="s">
        <v>35</v>
      </c>
      <c r="H43">
        <v>64</v>
      </c>
      <c r="I43">
        <v>19</v>
      </c>
      <c r="J43">
        <v>38</v>
      </c>
      <c r="K43">
        <v>8</v>
      </c>
      <c r="L43" t="s">
        <v>27</v>
      </c>
      <c r="M43" s="5">
        <v>5.7732637437666501</v>
      </c>
      <c r="N43" t="s">
        <v>52</v>
      </c>
      <c r="O43" t="s">
        <v>62</v>
      </c>
      <c r="P43">
        <v>18</v>
      </c>
      <c r="Q43">
        <v>892</v>
      </c>
      <c r="R43">
        <v>7</v>
      </c>
      <c r="S43" s="5">
        <v>95.332064548772493</v>
      </c>
      <c r="T43" t="s">
        <v>46</v>
      </c>
      <c r="U43" s="4">
        <v>4.5302262398259602E-2</v>
      </c>
      <c r="V43" t="s">
        <v>56</v>
      </c>
      <c r="W43" t="s">
        <v>48</v>
      </c>
      <c r="X43" s="5">
        <v>275.52437113130901</v>
      </c>
      <c r="Y43">
        <f>Table13[[#This Row],[Shipping_LT]]+Table13[[#This Row],[Supplier_LT]]+Table13[[#This Row],[Mfg_LT]]</f>
        <v>44</v>
      </c>
    </row>
    <row r="44" spans="1:25" x14ac:dyDescent="0.25">
      <c r="A44" t="s">
        <v>201</v>
      </c>
      <c r="B44" t="s">
        <v>96</v>
      </c>
      <c r="C44" s="5">
        <v>46.529167614516702</v>
      </c>
      <c r="D44">
        <v>98</v>
      </c>
      <c r="E44">
        <v>155</v>
      </c>
      <c r="F44" s="5">
        <v>1839.60942585676</v>
      </c>
      <c r="G44" t="s">
        <v>35</v>
      </c>
      <c r="H44">
        <v>22</v>
      </c>
      <c r="I44">
        <v>27</v>
      </c>
      <c r="J44">
        <v>57</v>
      </c>
      <c r="K44">
        <v>4</v>
      </c>
      <c r="L44" t="s">
        <v>43</v>
      </c>
      <c r="M44" s="5">
        <v>7.5262483268515004</v>
      </c>
      <c r="N44" t="s">
        <v>44</v>
      </c>
      <c r="O44" t="s">
        <v>53</v>
      </c>
      <c r="P44">
        <v>26</v>
      </c>
      <c r="Q44">
        <v>179</v>
      </c>
      <c r="R44">
        <v>7</v>
      </c>
      <c r="S44" s="5">
        <v>96.422820639571796</v>
      </c>
      <c r="T44" t="s">
        <v>46</v>
      </c>
      <c r="U44" s="4">
        <v>4.9392552886209398</v>
      </c>
      <c r="V44" t="s">
        <v>31</v>
      </c>
      <c r="W44" t="s">
        <v>48</v>
      </c>
      <c r="X44" s="5">
        <v>635.65712050199102</v>
      </c>
      <c r="Y44">
        <f>Table13[[#This Row],[Shipping_LT]]+Table13[[#This Row],[Supplier_LT]]+Table13[[#This Row],[Mfg_LT]]</f>
        <v>60</v>
      </c>
    </row>
    <row r="45" spans="1:25" x14ac:dyDescent="0.25">
      <c r="A45" t="s">
        <v>200</v>
      </c>
      <c r="B45" t="s">
        <v>97</v>
      </c>
      <c r="C45" s="5">
        <v>11.7432717763092</v>
      </c>
      <c r="D45">
        <v>6</v>
      </c>
      <c r="E45">
        <v>598</v>
      </c>
      <c r="F45" s="5">
        <v>5737.4255991190203</v>
      </c>
      <c r="G45" t="s">
        <v>38</v>
      </c>
      <c r="H45">
        <v>36</v>
      </c>
      <c r="I45">
        <v>29</v>
      </c>
      <c r="J45">
        <v>85</v>
      </c>
      <c r="K45">
        <v>9</v>
      </c>
      <c r="L45" t="s">
        <v>27</v>
      </c>
      <c r="M45" s="5">
        <v>3.6940212683884499</v>
      </c>
      <c r="N45" t="s">
        <v>44</v>
      </c>
      <c r="O45" t="s">
        <v>29</v>
      </c>
      <c r="P45">
        <v>1</v>
      </c>
      <c r="Q45">
        <v>206</v>
      </c>
      <c r="R45">
        <v>23</v>
      </c>
      <c r="S45" s="5">
        <v>26.2773659573324</v>
      </c>
      <c r="T45" t="s">
        <v>30</v>
      </c>
      <c r="U45" s="4">
        <v>0.37230476798509698</v>
      </c>
      <c r="V45" t="s">
        <v>40</v>
      </c>
      <c r="W45" t="s">
        <v>48</v>
      </c>
      <c r="X45" s="5">
        <v>716.04411975933999</v>
      </c>
      <c r="Y45">
        <f>Table13[[#This Row],[Shipping_LT]]+Table13[[#This Row],[Supplier_LT]]+Table13[[#This Row],[Mfg_LT]]</f>
        <v>53</v>
      </c>
    </row>
    <row r="46" spans="1:25" x14ac:dyDescent="0.25">
      <c r="A46" t="s">
        <v>199</v>
      </c>
      <c r="B46" t="s">
        <v>98</v>
      </c>
      <c r="C46" s="5">
        <v>51.355790913110297</v>
      </c>
      <c r="D46">
        <v>34</v>
      </c>
      <c r="E46">
        <v>919</v>
      </c>
      <c r="F46" s="5">
        <v>7152.28604943551</v>
      </c>
      <c r="G46" t="s">
        <v>35</v>
      </c>
      <c r="H46">
        <v>13</v>
      </c>
      <c r="I46">
        <v>19</v>
      </c>
      <c r="J46">
        <v>72</v>
      </c>
      <c r="K46">
        <v>6</v>
      </c>
      <c r="L46" t="s">
        <v>43</v>
      </c>
      <c r="M46" s="5">
        <v>7.5774496573766896</v>
      </c>
      <c r="N46" t="s">
        <v>61</v>
      </c>
      <c r="O46" t="s">
        <v>50</v>
      </c>
      <c r="P46">
        <v>7</v>
      </c>
      <c r="Q46">
        <v>834</v>
      </c>
      <c r="R46">
        <v>18</v>
      </c>
      <c r="S46" s="5">
        <v>22.554106620887701</v>
      </c>
      <c r="T46" t="s">
        <v>46</v>
      </c>
      <c r="U46" s="4">
        <v>2.9626263204548802</v>
      </c>
      <c r="V46" t="s">
        <v>47</v>
      </c>
      <c r="W46" t="s">
        <v>48</v>
      </c>
      <c r="X46" s="5">
        <v>610.45326961922694</v>
      </c>
      <c r="Y46">
        <f>Table13[[#This Row],[Shipping_LT]]+Table13[[#This Row],[Supplier_LT]]+Table13[[#This Row],[Mfg_LT]]</f>
        <v>44</v>
      </c>
    </row>
    <row r="47" spans="1:25" x14ac:dyDescent="0.25">
      <c r="A47" t="s">
        <v>200</v>
      </c>
      <c r="B47" t="s">
        <v>99</v>
      </c>
      <c r="C47" s="5">
        <v>33.784138033065503</v>
      </c>
      <c r="D47">
        <v>1</v>
      </c>
      <c r="E47">
        <v>24</v>
      </c>
      <c r="F47" s="5">
        <v>5267.9568075105199</v>
      </c>
      <c r="G47" t="s">
        <v>55</v>
      </c>
      <c r="H47">
        <v>93</v>
      </c>
      <c r="I47">
        <v>7</v>
      </c>
      <c r="J47">
        <v>52</v>
      </c>
      <c r="K47">
        <v>6</v>
      </c>
      <c r="L47" t="s">
        <v>27</v>
      </c>
      <c r="M47" s="5">
        <v>5.2151550087119096</v>
      </c>
      <c r="N47" t="s">
        <v>61</v>
      </c>
      <c r="O47" t="s">
        <v>62</v>
      </c>
      <c r="P47">
        <v>25</v>
      </c>
      <c r="Q47">
        <v>794</v>
      </c>
      <c r="R47">
        <v>25</v>
      </c>
      <c r="S47" s="5">
        <v>66.312544439991598</v>
      </c>
      <c r="T47" t="s">
        <v>64</v>
      </c>
      <c r="U47" s="4">
        <v>3.2196046120841002</v>
      </c>
      <c r="V47" t="s">
        <v>47</v>
      </c>
      <c r="W47" t="s">
        <v>48</v>
      </c>
      <c r="X47" s="5">
        <v>495.30569702847299</v>
      </c>
      <c r="Y47">
        <f>Table13[[#This Row],[Shipping_LT]]+Table13[[#This Row],[Supplier_LT]]+Table13[[#This Row],[Mfg_LT]]</f>
        <v>57</v>
      </c>
    </row>
    <row r="48" spans="1:25" x14ac:dyDescent="0.25">
      <c r="A48" t="s">
        <v>200</v>
      </c>
      <c r="B48" t="s">
        <v>100</v>
      </c>
      <c r="C48" s="5">
        <v>27.082207199888899</v>
      </c>
      <c r="D48">
        <v>75</v>
      </c>
      <c r="E48">
        <v>859</v>
      </c>
      <c r="F48" s="5">
        <v>2556.7673606335902</v>
      </c>
      <c r="G48" t="s">
        <v>26</v>
      </c>
      <c r="H48">
        <v>92</v>
      </c>
      <c r="I48">
        <v>29</v>
      </c>
      <c r="J48">
        <v>6</v>
      </c>
      <c r="K48">
        <v>8</v>
      </c>
      <c r="L48" t="s">
        <v>27</v>
      </c>
      <c r="M48" s="5">
        <v>4.0709558370840799</v>
      </c>
      <c r="N48" t="s">
        <v>28</v>
      </c>
      <c r="O48" t="s">
        <v>62</v>
      </c>
      <c r="P48">
        <v>18</v>
      </c>
      <c r="Q48">
        <v>870</v>
      </c>
      <c r="R48">
        <v>23</v>
      </c>
      <c r="S48" s="5">
        <v>77.322353211051606</v>
      </c>
      <c r="T48" t="s">
        <v>30</v>
      </c>
      <c r="U48" s="4">
        <v>3.6486105925361998</v>
      </c>
      <c r="V48" t="s">
        <v>31</v>
      </c>
      <c r="W48" t="s">
        <v>32</v>
      </c>
      <c r="X48" s="5">
        <v>380.43593711196399</v>
      </c>
      <c r="Y48">
        <f>Table13[[#This Row],[Shipping_LT]]+Table13[[#This Row],[Supplier_LT]]+Table13[[#This Row],[Mfg_LT]]</f>
        <v>70</v>
      </c>
    </row>
    <row r="49" spans="1:25" x14ac:dyDescent="0.25">
      <c r="A49" t="s">
        <v>201</v>
      </c>
      <c r="B49" t="s">
        <v>101</v>
      </c>
      <c r="C49" s="5">
        <v>95.712135880936003</v>
      </c>
      <c r="D49">
        <v>93</v>
      </c>
      <c r="E49">
        <v>910</v>
      </c>
      <c r="F49" s="5">
        <v>7089.4742499341801</v>
      </c>
      <c r="G49" t="s">
        <v>55</v>
      </c>
      <c r="H49">
        <v>4</v>
      </c>
      <c r="I49">
        <v>15</v>
      </c>
      <c r="J49">
        <v>51</v>
      </c>
      <c r="K49">
        <v>9</v>
      </c>
      <c r="L49" t="s">
        <v>27</v>
      </c>
      <c r="M49" s="5">
        <v>8.9787507559499709</v>
      </c>
      <c r="N49" t="s">
        <v>39</v>
      </c>
      <c r="O49" t="s">
        <v>45</v>
      </c>
      <c r="P49">
        <v>10</v>
      </c>
      <c r="Q49">
        <v>964</v>
      </c>
      <c r="R49">
        <v>20</v>
      </c>
      <c r="S49" s="5">
        <v>19.7129929112936</v>
      </c>
      <c r="T49" t="s">
        <v>30</v>
      </c>
      <c r="U49" s="4">
        <v>0.38057358671321301</v>
      </c>
      <c r="V49" t="s">
        <v>47</v>
      </c>
      <c r="W49" t="s">
        <v>48</v>
      </c>
      <c r="X49" s="5">
        <v>581.60235505058597</v>
      </c>
      <c r="Y49">
        <f>Table13[[#This Row],[Shipping_LT]]+Table13[[#This Row],[Supplier_LT]]+Table13[[#This Row],[Mfg_LT]]</f>
        <v>45</v>
      </c>
    </row>
    <row r="50" spans="1:25" x14ac:dyDescent="0.25">
      <c r="A50" t="s">
        <v>200</v>
      </c>
      <c r="B50" t="s">
        <v>102</v>
      </c>
      <c r="C50" s="5">
        <v>76.035544426891704</v>
      </c>
      <c r="D50">
        <v>28</v>
      </c>
      <c r="E50">
        <v>29</v>
      </c>
      <c r="F50" s="5">
        <v>7397.0710045871801</v>
      </c>
      <c r="G50" t="s">
        <v>26</v>
      </c>
      <c r="H50">
        <v>30</v>
      </c>
      <c r="I50">
        <v>16</v>
      </c>
      <c r="J50">
        <v>9</v>
      </c>
      <c r="K50">
        <v>3</v>
      </c>
      <c r="L50" t="s">
        <v>43</v>
      </c>
      <c r="M50" s="5">
        <v>7.0958331565551296</v>
      </c>
      <c r="N50" t="s">
        <v>61</v>
      </c>
      <c r="O50" t="s">
        <v>29</v>
      </c>
      <c r="P50">
        <v>9</v>
      </c>
      <c r="Q50">
        <v>109</v>
      </c>
      <c r="R50">
        <v>18</v>
      </c>
      <c r="S50" s="5">
        <v>23.126363582464698</v>
      </c>
      <c r="T50" t="s">
        <v>46</v>
      </c>
      <c r="U50" s="4">
        <v>1.6981125407144</v>
      </c>
      <c r="V50" t="s">
        <v>47</v>
      </c>
      <c r="W50" t="s">
        <v>32</v>
      </c>
      <c r="X50" s="5">
        <v>768.65191395437</v>
      </c>
      <c r="Y50">
        <f>Table13[[#This Row],[Shipping_LT]]+Table13[[#This Row],[Supplier_LT]]+Table13[[#This Row],[Mfg_LT]]</f>
        <v>43</v>
      </c>
    </row>
    <row r="51" spans="1:25" x14ac:dyDescent="0.25">
      <c r="A51" t="s">
        <v>199</v>
      </c>
      <c r="B51" t="s">
        <v>103</v>
      </c>
      <c r="C51" s="5">
        <v>78.897913205639995</v>
      </c>
      <c r="D51">
        <v>19</v>
      </c>
      <c r="E51">
        <v>99</v>
      </c>
      <c r="F51" s="5">
        <v>8001.6132065190004</v>
      </c>
      <c r="G51" t="s">
        <v>38</v>
      </c>
      <c r="H51">
        <v>97</v>
      </c>
      <c r="I51">
        <v>24</v>
      </c>
      <c r="J51">
        <v>9</v>
      </c>
      <c r="K51">
        <v>6</v>
      </c>
      <c r="L51" t="s">
        <v>43</v>
      </c>
      <c r="M51" s="5">
        <v>2.5056210329009101</v>
      </c>
      <c r="N51" t="s">
        <v>44</v>
      </c>
      <c r="O51" t="s">
        <v>50</v>
      </c>
      <c r="P51">
        <v>28</v>
      </c>
      <c r="Q51">
        <v>177</v>
      </c>
      <c r="R51">
        <v>28</v>
      </c>
      <c r="S51" s="5">
        <v>14.1478154439792</v>
      </c>
      <c r="T51" t="s">
        <v>64</v>
      </c>
      <c r="U51" s="4">
        <v>2.8258139854001301</v>
      </c>
      <c r="V51" t="s">
        <v>47</v>
      </c>
      <c r="W51" t="s">
        <v>48</v>
      </c>
      <c r="X51" s="5">
        <v>336.89016851997701</v>
      </c>
      <c r="Y51">
        <f>Table13[[#This Row],[Shipping_LT]]+Table13[[#This Row],[Supplier_LT]]+Table13[[#This Row],[Mfg_LT]]</f>
        <v>80</v>
      </c>
    </row>
    <row r="52" spans="1:25" x14ac:dyDescent="0.25">
      <c r="A52" t="s">
        <v>199</v>
      </c>
      <c r="B52" t="s">
        <v>104</v>
      </c>
      <c r="C52" s="5">
        <v>14.203484264803</v>
      </c>
      <c r="D52">
        <v>91</v>
      </c>
      <c r="E52">
        <v>633</v>
      </c>
      <c r="F52" s="5">
        <v>5910.8853896688897</v>
      </c>
      <c r="G52" t="s">
        <v>35</v>
      </c>
      <c r="H52">
        <v>31</v>
      </c>
      <c r="I52">
        <v>23</v>
      </c>
      <c r="J52">
        <v>82</v>
      </c>
      <c r="K52">
        <v>10</v>
      </c>
      <c r="L52" t="s">
        <v>36</v>
      </c>
      <c r="M52" s="5">
        <v>6.2478609149759903</v>
      </c>
      <c r="N52" t="s">
        <v>61</v>
      </c>
      <c r="O52" t="s">
        <v>50</v>
      </c>
      <c r="P52">
        <v>20</v>
      </c>
      <c r="Q52">
        <v>306</v>
      </c>
      <c r="R52">
        <v>21</v>
      </c>
      <c r="S52" s="5">
        <v>45.178757924634503</v>
      </c>
      <c r="T52" t="s">
        <v>46</v>
      </c>
      <c r="U52" s="4">
        <v>4.7548008046711798</v>
      </c>
      <c r="V52" t="s">
        <v>47</v>
      </c>
      <c r="W52" t="s">
        <v>32</v>
      </c>
      <c r="X52" s="5">
        <v>496.24865029194001</v>
      </c>
      <c r="Y52">
        <f>Table13[[#This Row],[Shipping_LT]]+Table13[[#This Row],[Supplier_LT]]+Table13[[#This Row],[Mfg_LT]]</f>
        <v>64</v>
      </c>
    </row>
    <row r="53" spans="1:25" x14ac:dyDescent="0.25">
      <c r="A53" t="s">
        <v>200</v>
      </c>
      <c r="B53" t="s">
        <v>105</v>
      </c>
      <c r="C53" s="5">
        <v>26.700760972461701</v>
      </c>
      <c r="D53">
        <v>61</v>
      </c>
      <c r="E53">
        <v>154</v>
      </c>
      <c r="F53" s="5">
        <v>9866.4654579796897</v>
      </c>
      <c r="G53" t="s">
        <v>55</v>
      </c>
      <c r="H53">
        <v>100</v>
      </c>
      <c r="I53">
        <v>4</v>
      </c>
      <c r="J53">
        <v>52</v>
      </c>
      <c r="K53">
        <v>1</v>
      </c>
      <c r="L53" t="s">
        <v>36</v>
      </c>
      <c r="M53" s="5">
        <v>4.78300055794766</v>
      </c>
      <c r="N53" t="s">
        <v>44</v>
      </c>
      <c r="O53" t="s">
        <v>53</v>
      </c>
      <c r="P53">
        <v>18</v>
      </c>
      <c r="Q53">
        <v>673</v>
      </c>
      <c r="R53">
        <v>28</v>
      </c>
      <c r="S53" s="5">
        <v>14.190328344569901</v>
      </c>
      <c r="T53" t="s">
        <v>30</v>
      </c>
      <c r="U53" s="4">
        <v>1.77295117208355</v>
      </c>
      <c r="V53" t="s">
        <v>31</v>
      </c>
      <c r="W53" t="s">
        <v>48</v>
      </c>
      <c r="X53" s="5">
        <v>694.98231757944495</v>
      </c>
      <c r="Y53">
        <f>Table13[[#This Row],[Shipping_LT]]+Table13[[#This Row],[Supplier_LT]]+Table13[[#This Row],[Mfg_LT]]</f>
        <v>50</v>
      </c>
    </row>
    <row r="54" spans="1:25" x14ac:dyDescent="0.25">
      <c r="A54" t="s">
        <v>201</v>
      </c>
      <c r="B54" t="s">
        <v>106</v>
      </c>
      <c r="C54" s="5">
        <v>98.031829656465007</v>
      </c>
      <c r="D54">
        <v>1</v>
      </c>
      <c r="E54">
        <v>820</v>
      </c>
      <c r="F54" s="5">
        <v>9435.7626089121295</v>
      </c>
      <c r="G54" t="s">
        <v>55</v>
      </c>
      <c r="H54">
        <v>64</v>
      </c>
      <c r="I54">
        <v>11</v>
      </c>
      <c r="J54">
        <v>11</v>
      </c>
      <c r="K54">
        <v>1</v>
      </c>
      <c r="L54" t="s">
        <v>27</v>
      </c>
      <c r="M54" s="5">
        <v>8.6310521797689397</v>
      </c>
      <c r="N54" t="s">
        <v>39</v>
      </c>
      <c r="O54" t="s">
        <v>29</v>
      </c>
      <c r="P54">
        <v>10</v>
      </c>
      <c r="Q54">
        <v>727</v>
      </c>
      <c r="R54">
        <v>27</v>
      </c>
      <c r="S54" s="5">
        <v>9.1668491485971497</v>
      </c>
      <c r="T54" t="s">
        <v>30</v>
      </c>
      <c r="U54" s="4">
        <v>2.1224716191438202</v>
      </c>
      <c r="V54" t="s">
        <v>40</v>
      </c>
      <c r="W54" t="s">
        <v>41</v>
      </c>
      <c r="X54" s="5">
        <v>602.89849883838303</v>
      </c>
      <c r="Y54">
        <f>Table13[[#This Row],[Shipping_LT]]+Table13[[#This Row],[Supplier_LT]]+Table13[[#This Row],[Mfg_LT]]</f>
        <v>48</v>
      </c>
    </row>
    <row r="55" spans="1:25" x14ac:dyDescent="0.25">
      <c r="A55" t="s">
        <v>201</v>
      </c>
      <c r="B55" t="s">
        <v>107</v>
      </c>
      <c r="C55" s="5">
        <v>30.3414707112142</v>
      </c>
      <c r="D55">
        <v>93</v>
      </c>
      <c r="E55">
        <v>242</v>
      </c>
      <c r="F55" s="5">
        <v>8232.3348294258194</v>
      </c>
      <c r="G55" t="s">
        <v>55</v>
      </c>
      <c r="H55">
        <v>96</v>
      </c>
      <c r="I55">
        <v>25</v>
      </c>
      <c r="J55">
        <v>54</v>
      </c>
      <c r="K55">
        <v>3</v>
      </c>
      <c r="L55" t="s">
        <v>27</v>
      </c>
      <c r="M55" s="5">
        <v>1.0134865660958901</v>
      </c>
      <c r="N55" t="s">
        <v>39</v>
      </c>
      <c r="O55" t="s">
        <v>50</v>
      </c>
      <c r="P55">
        <v>1</v>
      </c>
      <c r="Q55">
        <v>631</v>
      </c>
      <c r="R55">
        <v>17</v>
      </c>
      <c r="S55" s="5">
        <v>83.344058991677898</v>
      </c>
      <c r="T55" t="s">
        <v>30</v>
      </c>
      <c r="U55" s="4">
        <v>1.41034757607602</v>
      </c>
      <c r="V55" t="s">
        <v>40</v>
      </c>
      <c r="W55" t="s">
        <v>32</v>
      </c>
      <c r="X55" s="5">
        <v>750.73784066827</v>
      </c>
      <c r="Y55">
        <f>Table13[[#This Row],[Shipping_LT]]+Table13[[#This Row],[Supplier_LT]]+Table13[[#This Row],[Mfg_LT]]</f>
        <v>43</v>
      </c>
    </row>
    <row r="56" spans="1:25" x14ac:dyDescent="0.25">
      <c r="A56" t="s">
        <v>200</v>
      </c>
      <c r="B56" t="s">
        <v>108</v>
      </c>
      <c r="C56" s="5">
        <v>31.1462431602408</v>
      </c>
      <c r="D56">
        <v>11</v>
      </c>
      <c r="E56">
        <v>622</v>
      </c>
      <c r="F56" s="5">
        <v>6088.0214799408504</v>
      </c>
      <c r="G56" t="s">
        <v>26</v>
      </c>
      <c r="H56">
        <v>33</v>
      </c>
      <c r="I56">
        <v>22</v>
      </c>
      <c r="J56">
        <v>61</v>
      </c>
      <c r="K56">
        <v>3</v>
      </c>
      <c r="L56" t="s">
        <v>27</v>
      </c>
      <c r="M56" s="5">
        <v>4.3051034712876302</v>
      </c>
      <c r="N56" t="s">
        <v>39</v>
      </c>
      <c r="O56" t="s">
        <v>45</v>
      </c>
      <c r="P56">
        <v>26</v>
      </c>
      <c r="Q56">
        <v>497</v>
      </c>
      <c r="R56">
        <v>29</v>
      </c>
      <c r="S56" s="5">
        <v>30.186023375822501</v>
      </c>
      <c r="T56" t="s">
        <v>64</v>
      </c>
      <c r="U56" s="4">
        <v>2.4787719755397402</v>
      </c>
      <c r="V56" t="s">
        <v>31</v>
      </c>
      <c r="W56" t="s">
        <v>32</v>
      </c>
      <c r="X56" s="5">
        <v>814.06999658218695</v>
      </c>
      <c r="Y56">
        <f>Table13[[#This Row],[Shipping_LT]]+Table13[[#This Row],[Supplier_LT]]+Table13[[#This Row],[Mfg_LT]]</f>
        <v>77</v>
      </c>
    </row>
    <row r="57" spans="1:25" x14ac:dyDescent="0.25">
      <c r="A57" t="s">
        <v>200</v>
      </c>
      <c r="B57" t="s">
        <v>109</v>
      </c>
      <c r="C57" s="5">
        <v>79.855058340789398</v>
      </c>
      <c r="D57">
        <v>16</v>
      </c>
      <c r="E57">
        <v>701</v>
      </c>
      <c r="F57" s="5">
        <v>2925.6751703038099</v>
      </c>
      <c r="G57" t="s">
        <v>55</v>
      </c>
      <c r="H57">
        <v>97</v>
      </c>
      <c r="I57">
        <v>11</v>
      </c>
      <c r="J57">
        <v>11</v>
      </c>
      <c r="K57">
        <v>5</v>
      </c>
      <c r="L57" t="s">
        <v>36</v>
      </c>
      <c r="M57" s="5">
        <v>5.0143649550309002</v>
      </c>
      <c r="N57" t="s">
        <v>61</v>
      </c>
      <c r="O57" t="s">
        <v>50</v>
      </c>
      <c r="P57">
        <v>27</v>
      </c>
      <c r="Q57">
        <v>918</v>
      </c>
      <c r="R57">
        <v>5</v>
      </c>
      <c r="S57" s="5">
        <v>30.323545256616502</v>
      </c>
      <c r="T57" t="s">
        <v>46</v>
      </c>
      <c r="U57" s="4">
        <v>4.5489196593963799</v>
      </c>
      <c r="V57" t="s">
        <v>56</v>
      </c>
      <c r="W57" t="s">
        <v>32</v>
      </c>
      <c r="X57" s="5">
        <v>323.01292795247798</v>
      </c>
      <c r="Y57">
        <f>Table13[[#This Row],[Shipping_LT]]+Table13[[#This Row],[Supplier_LT]]+Table13[[#This Row],[Mfg_LT]]</f>
        <v>43</v>
      </c>
    </row>
    <row r="58" spans="1:25" x14ac:dyDescent="0.25">
      <c r="A58" t="s">
        <v>201</v>
      </c>
      <c r="B58" t="s">
        <v>110</v>
      </c>
      <c r="C58" s="5">
        <v>20.9863860370433</v>
      </c>
      <c r="D58">
        <v>90</v>
      </c>
      <c r="E58">
        <v>93</v>
      </c>
      <c r="F58" s="5">
        <v>4767.0204843441297</v>
      </c>
      <c r="G58" t="s">
        <v>26</v>
      </c>
      <c r="H58">
        <v>25</v>
      </c>
      <c r="I58">
        <v>23</v>
      </c>
      <c r="J58">
        <v>83</v>
      </c>
      <c r="K58">
        <v>5</v>
      </c>
      <c r="L58" t="s">
        <v>43</v>
      </c>
      <c r="M58" s="5">
        <v>1.77442971407173</v>
      </c>
      <c r="N58" t="s">
        <v>39</v>
      </c>
      <c r="O58" t="s">
        <v>29</v>
      </c>
      <c r="P58">
        <v>24</v>
      </c>
      <c r="Q58">
        <v>826</v>
      </c>
      <c r="R58">
        <v>28</v>
      </c>
      <c r="S58" s="5">
        <v>12.8362845728327</v>
      </c>
      <c r="T58" t="s">
        <v>64</v>
      </c>
      <c r="U58" s="4">
        <v>1.1737554953874501</v>
      </c>
      <c r="V58" t="s">
        <v>40</v>
      </c>
      <c r="W58" t="s">
        <v>32</v>
      </c>
      <c r="X58" s="5">
        <v>832.210808706021</v>
      </c>
      <c r="Y58">
        <f>Table13[[#This Row],[Shipping_LT]]+Table13[[#This Row],[Supplier_LT]]+Table13[[#This Row],[Mfg_LT]]</f>
        <v>75</v>
      </c>
    </row>
    <row r="59" spans="1:25" x14ac:dyDescent="0.25">
      <c r="A59" t="s">
        <v>200</v>
      </c>
      <c r="B59" t="s">
        <v>111</v>
      </c>
      <c r="C59" s="5">
        <v>49.263205350734097</v>
      </c>
      <c r="D59">
        <v>65</v>
      </c>
      <c r="E59">
        <v>227</v>
      </c>
      <c r="F59" s="5">
        <v>1605.8669003924001</v>
      </c>
      <c r="G59" t="s">
        <v>38</v>
      </c>
      <c r="H59">
        <v>5</v>
      </c>
      <c r="I59">
        <v>18</v>
      </c>
      <c r="J59">
        <v>51</v>
      </c>
      <c r="K59">
        <v>1</v>
      </c>
      <c r="L59" t="s">
        <v>27</v>
      </c>
      <c r="M59" s="5">
        <v>9.1605585353818704</v>
      </c>
      <c r="N59" t="s">
        <v>61</v>
      </c>
      <c r="O59" t="s">
        <v>50</v>
      </c>
      <c r="P59">
        <v>21</v>
      </c>
      <c r="Q59">
        <v>588</v>
      </c>
      <c r="R59">
        <v>25</v>
      </c>
      <c r="S59" s="5">
        <v>67.779622987078099</v>
      </c>
      <c r="T59" t="s">
        <v>30</v>
      </c>
      <c r="U59" s="4">
        <v>2.5111748302126999</v>
      </c>
      <c r="V59" t="s">
        <v>47</v>
      </c>
      <c r="W59" t="s">
        <v>48</v>
      </c>
      <c r="X59" s="5">
        <v>482.19123860252802</v>
      </c>
      <c r="Y59">
        <f>Table13[[#This Row],[Shipping_LT]]+Table13[[#This Row],[Supplier_LT]]+Table13[[#This Row],[Mfg_LT]]</f>
        <v>64</v>
      </c>
    </row>
    <row r="60" spans="1:25" x14ac:dyDescent="0.25">
      <c r="A60" t="s">
        <v>201</v>
      </c>
      <c r="B60" t="s">
        <v>112</v>
      </c>
      <c r="C60" s="5">
        <v>59.841561377289302</v>
      </c>
      <c r="D60">
        <v>81</v>
      </c>
      <c r="E60">
        <v>896</v>
      </c>
      <c r="F60" s="5">
        <v>2021.1498103371</v>
      </c>
      <c r="G60" t="s">
        <v>26</v>
      </c>
      <c r="H60">
        <v>10</v>
      </c>
      <c r="I60">
        <v>5</v>
      </c>
      <c r="J60">
        <v>44</v>
      </c>
      <c r="K60">
        <v>7</v>
      </c>
      <c r="L60" t="s">
        <v>36</v>
      </c>
      <c r="M60" s="5">
        <v>4.9384385647120901</v>
      </c>
      <c r="N60" t="s">
        <v>28</v>
      </c>
      <c r="O60" t="s">
        <v>50</v>
      </c>
      <c r="P60">
        <v>18</v>
      </c>
      <c r="Q60">
        <v>396</v>
      </c>
      <c r="R60">
        <v>7</v>
      </c>
      <c r="S60" s="5">
        <v>65.047415094691402</v>
      </c>
      <c r="T60" t="s">
        <v>46</v>
      </c>
      <c r="U60" s="4">
        <v>1.7303747198591899</v>
      </c>
      <c r="V60" t="s">
        <v>31</v>
      </c>
      <c r="W60" t="s">
        <v>32</v>
      </c>
      <c r="X60" s="5">
        <v>110.364335231364</v>
      </c>
      <c r="Y60">
        <f>Table13[[#This Row],[Shipping_LT]]+Table13[[#This Row],[Supplier_LT]]+Table13[[#This Row],[Mfg_LT]]</f>
        <v>30</v>
      </c>
    </row>
    <row r="61" spans="1:25" x14ac:dyDescent="0.25">
      <c r="A61" t="s">
        <v>199</v>
      </c>
      <c r="B61" t="s">
        <v>113</v>
      </c>
      <c r="C61" s="5">
        <v>63.828398347710902</v>
      </c>
      <c r="D61">
        <v>30</v>
      </c>
      <c r="E61">
        <v>484</v>
      </c>
      <c r="F61" s="5">
        <v>1061.6185230132801</v>
      </c>
      <c r="G61" t="s">
        <v>26</v>
      </c>
      <c r="H61">
        <v>100</v>
      </c>
      <c r="I61">
        <v>16</v>
      </c>
      <c r="J61">
        <v>26</v>
      </c>
      <c r="K61">
        <v>7</v>
      </c>
      <c r="L61" t="s">
        <v>27</v>
      </c>
      <c r="M61" s="5">
        <v>7.2937225968677204</v>
      </c>
      <c r="N61" t="s">
        <v>39</v>
      </c>
      <c r="O61" t="s">
        <v>45</v>
      </c>
      <c r="P61">
        <v>11</v>
      </c>
      <c r="Q61">
        <v>176</v>
      </c>
      <c r="R61">
        <v>4</v>
      </c>
      <c r="S61" s="5">
        <v>1.90076224351945</v>
      </c>
      <c r="T61" t="s">
        <v>46</v>
      </c>
      <c r="U61" s="4">
        <v>0.44719401546382298</v>
      </c>
      <c r="V61" t="s">
        <v>40</v>
      </c>
      <c r="W61" t="s">
        <v>48</v>
      </c>
      <c r="X61" s="5">
        <v>312.57427361009297</v>
      </c>
      <c r="Y61">
        <f>Table13[[#This Row],[Shipping_LT]]+Table13[[#This Row],[Supplier_LT]]+Table13[[#This Row],[Mfg_LT]]</f>
        <v>31</v>
      </c>
    </row>
    <row r="62" spans="1:25" x14ac:dyDescent="0.25">
      <c r="A62" t="s">
        <v>201</v>
      </c>
      <c r="B62" t="s">
        <v>114</v>
      </c>
      <c r="C62" s="5">
        <v>17.028027920188698</v>
      </c>
      <c r="D62">
        <v>16</v>
      </c>
      <c r="E62">
        <v>380</v>
      </c>
      <c r="F62" s="5">
        <v>8864.0843495864301</v>
      </c>
      <c r="G62" t="s">
        <v>35</v>
      </c>
      <c r="H62">
        <v>41</v>
      </c>
      <c r="I62">
        <v>27</v>
      </c>
      <c r="J62">
        <v>72</v>
      </c>
      <c r="K62">
        <v>8</v>
      </c>
      <c r="L62" t="s">
        <v>43</v>
      </c>
      <c r="M62" s="5">
        <v>4.3813681581023101</v>
      </c>
      <c r="N62" t="s">
        <v>52</v>
      </c>
      <c r="O62" t="s">
        <v>29</v>
      </c>
      <c r="P62">
        <v>29</v>
      </c>
      <c r="Q62">
        <v>929</v>
      </c>
      <c r="R62">
        <v>24</v>
      </c>
      <c r="S62" s="5">
        <v>87.213057815135599</v>
      </c>
      <c r="T62" t="s">
        <v>46</v>
      </c>
      <c r="U62" s="4">
        <v>2.8530906166490499</v>
      </c>
      <c r="V62" t="s">
        <v>47</v>
      </c>
      <c r="W62" t="s">
        <v>48</v>
      </c>
      <c r="X62" s="5">
        <v>430.16909697513597</v>
      </c>
      <c r="Y62">
        <f>Table13[[#This Row],[Shipping_LT]]+Table13[[#This Row],[Supplier_LT]]+Table13[[#This Row],[Mfg_LT]]</f>
        <v>80</v>
      </c>
    </row>
    <row r="63" spans="1:25" x14ac:dyDescent="0.25">
      <c r="A63" t="s">
        <v>200</v>
      </c>
      <c r="B63" t="s">
        <v>115</v>
      </c>
      <c r="C63" s="5">
        <v>52.028749903294901</v>
      </c>
      <c r="D63">
        <v>23</v>
      </c>
      <c r="E63">
        <v>117</v>
      </c>
      <c r="F63" s="5">
        <v>6885.5893508962499</v>
      </c>
      <c r="G63" t="s">
        <v>38</v>
      </c>
      <c r="H63">
        <v>32</v>
      </c>
      <c r="I63">
        <v>23</v>
      </c>
      <c r="J63">
        <v>36</v>
      </c>
      <c r="K63">
        <v>7</v>
      </c>
      <c r="L63" t="s">
        <v>43</v>
      </c>
      <c r="M63" s="5">
        <v>9.0303404225219399</v>
      </c>
      <c r="N63" t="s">
        <v>52</v>
      </c>
      <c r="O63" t="s">
        <v>45</v>
      </c>
      <c r="P63">
        <v>14</v>
      </c>
      <c r="Q63">
        <v>480</v>
      </c>
      <c r="R63">
        <v>12</v>
      </c>
      <c r="S63" s="5">
        <v>78.702393968878894</v>
      </c>
      <c r="T63" t="s">
        <v>46</v>
      </c>
      <c r="U63" s="4">
        <v>4.3674705382050503</v>
      </c>
      <c r="V63" t="s">
        <v>40</v>
      </c>
      <c r="W63" t="s">
        <v>48</v>
      </c>
      <c r="X63" s="5">
        <v>164.366528243419</v>
      </c>
      <c r="Y63">
        <f>Table13[[#This Row],[Shipping_LT]]+Table13[[#This Row],[Supplier_LT]]+Table13[[#This Row],[Mfg_LT]]</f>
        <v>49</v>
      </c>
    </row>
    <row r="64" spans="1:25" x14ac:dyDescent="0.25">
      <c r="A64" t="s">
        <v>199</v>
      </c>
      <c r="B64" t="s">
        <v>116</v>
      </c>
      <c r="C64" s="5">
        <v>72.796353955587307</v>
      </c>
      <c r="D64">
        <v>89</v>
      </c>
      <c r="E64">
        <v>270</v>
      </c>
      <c r="F64" s="5">
        <v>3899.7468337292198</v>
      </c>
      <c r="G64" t="s">
        <v>38</v>
      </c>
      <c r="H64">
        <v>86</v>
      </c>
      <c r="I64">
        <v>2</v>
      </c>
      <c r="J64">
        <v>40</v>
      </c>
      <c r="K64">
        <v>7</v>
      </c>
      <c r="L64" t="s">
        <v>43</v>
      </c>
      <c r="M64" s="5">
        <v>7.2917013887767697</v>
      </c>
      <c r="N64" t="s">
        <v>61</v>
      </c>
      <c r="O64" t="s">
        <v>29</v>
      </c>
      <c r="P64">
        <v>13</v>
      </c>
      <c r="Q64">
        <v>751</v>
      </c>
      <c r="R64">
        <v>14</v>
      </c>
      <c r="S64" s="5">
        <v>21.048642725168602</v>
      </c>
      <c r="T64" t="s">
        <v>64</v>
      </c>
      <c r="U64" s="4">
        <v>1.87400140404437</v>
      </c>
      <c r="V64" t="s">
        <v>56</v>
      </c>
      <c r="W64" t="s">
        <v>41</v>
      </c>
      <c r="X64" s="5">
        <v>320.84651575911101</v>
      </c>
      <c r="Y64">
        <f>Table13[[#This Row],[Shipping_LT]]+Table13[[#This Row],[Supplier_LT]]+Table13[[#This Row],[Mfg_LT]]</f>
        <v>29</v>
      </c>
    </row>
    <row r="65" spans="1:25" x14ac:dyDescent="0.25">
      <c r="A65" t="s">
        <v>201</v>
      </c>
      <c r="B65" t="s">
        <v>117</v>
      </c>
      <c r="C65" s="5">
        <v>13.0173767852878</v>
      </c>
      <c r="D65">
        <v>55</v>
      </c>
      <c r="E65">
        <v>246</v>
      </c>
      <c r="F65" s="5">
        <v>4256.9491408502199</v>
      </c>
      <c r="G65" t="s">
        <v>26</v>
      </c>
      <c r="H65">
        <v>54</v>
      </c>
      <c r="I65">
        <v>19</v>
      </c>
      <c r="J65">
        <v>10</v>
      </c>
      <c r="K65">
        <v>4</v>
      </c>
      <c r="L65" t="s">
        <v>36</v>
      </c>
      <c r="M65" s="5">
        <v>2.45793352798733</v>
      </c>
      <c r="N65" t="s">
        <v>28</v>
      </c>
      <c r="O65" t="s">
        <v>53</v>
      </c>
      <c r="P65">
        <v>18</v>
      </c>
      <c r="Q65">
        <v>736</v>
      </c>
      <c r="R65">
        <v>10</v>
      </c>
      <c r="S65" s="5">
        <v>20.075003975630398</v>
      </c>
      <c r="T65" t="s">
        <v>30</v>
      </c>
      <c r="U65" s="4">
        <v>3.6328432903821302</v>
      </c>
      <c r="V65" t="s">
        <v>56</v>
      </c>
      <c r="W65" t="s">
        <v>48</v>
      </c>
      <c r="X65" s="5">
        <v>687.28617786641701</v>
      </c>
      <c r="Y65">
        <f>Table13[[#This Row],[Shipping_LT]]+Table13[[#This Row],[Supplier_LT]]+Table13[[#This Row],[Mfg_LT]]</f>
        <v>47</v>
      </c>
    </row>
    <row r="66" spans="1:25" x14ac:dyDescent="0.25">
      <c r="A66" t="s">
        <v>201</v>
      </c>
      <c r="B66" t="s">
        <v>118</v>
      </c>
      <c r="C66" s="5">
        <v>89.634095608135297</v>
      </c>
      <c r="D66">
        <v>11</v>
      </c>
      <c r="E66">
        <v>134</v>
      </c>
      <c r="F66" s="5">
        <v>8458.7308783671706</v>
      </c>
      <c r="G66" t="s">
        <v>35</v>
      </c>
      <c r="H66">
        <v>73</v>
      </c>
      <c r="I66">
        <v>27</v>
      </c>
      <c r="J66">
        <v>75</v>
      </c>
      <c r="K66">
        <v>6</v>
      </c>
      <c r="L66" t="s">
        <v>43</v>
      </c>
      <c r="M66" s="5">
        <v>4.5853534681946497</v>
      </c>
      <c r="N66" t="s">
        <v>39</v>
      </c>
      <c r="O66" t="s">
        <v>50</v>
      </c>
      <c r="P66">
        <v>17</v>
      </c>
      <c r="Q66">
        <v>328</v>
      </c>
      <c r="R66">
        <v>6</v>
      </c>
      <c r="S66" s="5">
        <v>8.6930424258772803</v>
      </c>
      <c r="T66" t="s">
        <v>46</v>
      </c>
      <c r="U66" s="4">
        <v>0.15948631471751401</v>
      </c>
      <c r="V66" t="s">
        <v>40</v>
      </c>
      <c r="W66" t="s">
        <v>41</v>
      </c>
      <c r="X66" s="5">
        <v>771.225084681157</v>
      </c>
      <c r="Y66">
        <f>Table13[[#This Row],[Shipping_LT]]+Table13[[#This Row],[Supplier_LT]]+Table13[[#This Row],[Mfg_LT]]</f>
        <v>50</v>
      </c>
    </row>
    <row r="67" spans="1:25" x14ac:dyDescent="0.25">
      <c r="A67" t="s">
        <v>201</v>
      </c>
      <c r="B67" t="s">
        <v>119</v>
      </c>
      <c r="C67" s="5">
        <v>33.697717206643098</v>
      </c>
      <c r="D67">
        <v>72</v>
      </c>
      <c r="E67">
        <v>457</v>
      </c>
      <c r="F67" s="5">
        <v>8354.5796864819895</v>
      </c>
      <c r="G67" t="s">
        <v>55</v>
      </c>
      <c r="H67">
        <v>57</v>
      </c>
      <c r="I67">
        <v>24</v>
      </c>
      <c r="J67">
        <v>54</v>
      </c>
      <c r="K67">
        <v>8</v>
      </c>
      <c r="L67" t="s">
        <v>43</v>
      </c>
      <c r="M67" s="5">
        <v>6.5805413478845898</v>
      </c>
      <c r="N67" t="s">
        <v>44</v>
      </c>
      <c r="O67" t="s">
        <v>45</v>
      </c>
      <c r="P67">
        <v>16</v>
      </c>
      <c r="Q67">
        <v>358</v>
      </c>
      <c r="R67">
        <v>21</v>
      </c>
      <c r="S67" s="5">
        <v>1.59722274305067</v>
      </c>
      <c r="T67" t="s">
        <v>46</v>
      </c>
      <c r="U67" s="4">
        <v>4.9110959548423301</v>
      </c>
      <c r="V67" t="s">
        <v>47</v>
      </c>
      <c r="W67" t="s">
        <v>41</v>
      </c>
      <c r="X67" s="5">
        <v>555.85910367174301</v>
      </c>
      <c r="Y67">
        <f>Table13[[#This Row],[Shipping_LT]]+Table13[[#This Row],[Supplier_LT]]+Table13[[#This Row],[Mfg_LT]]</f>
        <v>61</v>
      </c>
    </row>
    <row r="68" spans="1:25" x14ac:dyDescent="0.25">
      <c r="A68" t="s">
        <v>201</v>
      </c>
      <c r="B68" t="s">
        <v>120</v>
      </c>
      <c r="C68" s="5">
        <v>26.034869773962001</v>
      </c>
      <c r="D68">
        <v>52</v>
      </c>
      <c r="E68">
        <v>704</v>
      </c>
      <c r="F68" s="5">
        <v>8367.7216180201503</v>
      </c>
      <c r="G68" t="s">
        <v>35</v>
      </c>
      <c r="H68">
        <v>13</v>
      </c>
      <c r="I68">
        <v>17</v>
      </c>
      <c r="J68">
        <v>19</v>
      </c>
      <c r="K68">
        <v>8</v>
      </c>
      <c r="L68" t="s">
        <v>36</v>
      </c>
      <c r="M68" s="5">
        <v>2.2161427287713602</v>
      </c>
      <c r="N68" t="s">
        <v>44</v>
      </c>
      <c r="O68" t="s">
        <v>45</v>
      </c>
      <c r="P68">
        <v>24</v>
      </c>
      <c r="Q68">
        <v>867</v>
      </c>
      <c r="R68">
        <v>28</v>
      </c>
      <c r="S68" s="5">
        <v>42.084436738309897</v>
      </c>
      <c r="T68" t="s">
        <v>46</v>
      </c>
      <c r="U68" s="4">
        <v>3.44806328834026</v>
      </c>
      <c r="V68" t="s">
        <v>31</v>
      </c>
      <c r="W68" t="s">
        <v>48</v>
      </c>
      <c r="X68" s="5">
        <v>393.84334857842703</v>
      </c>
      <c r="Y68">
        <f>Table13[[#This Row],[Shipping_LT]]+Table13[[#This Row],[Supplier_LT]]+Table13[[#This Row],[Mfg_LT]]</f>
        <v>69</v>
      </c>
    </row>
    <row r="69" spans="1:25" x14ac:dyDescent="0.25">
      <c r="A69" t="s">
        <v>201</v>
      </c>
      <c r="B69" t="s">
        <v>121</v>
      </c>
      <c r="C69" s="5">
        <v>87.755432354001002</v>
      </c>
      <c r="D69">
        <v>16</v>
      </c>
      <c r="E69">
        <v>513</v>
      </c>
      <c r="F69" s="5">
        <v>9473.7980325083299</v>
      </c>
      <c r="G69" t="s">
        <v>38</v>
      </c>
      <c r="H69">
        <v>12</v>
      </c>
      <c r="I69">
        <v>9</v>
      </c>
      <c r="J69">
        <v>71</v>
      </c>
      <c r="K69">
        <v>9</v>
      </c>
      <c r="L69" t="s">
        <v>43</v>
      </c>
      <c r="M69" s="5">
        <v>9.1478115447106294</v>
      </c>
      <c r="N69" t="s">
        <v>39</v>
      </c>
      <c r="O69" t="s">
        <v>29</v>
      </c>
      <c r="P69">
        <v>10</v>
      </c>
      <c r="Q69">
        <v>198</v>
      </c>
      <c r="R69">
        <v>11</v>
      </c>
      <c r="S69" s="5">
        <v>7.0578761469782298</v>
      </c>
      <c r="T69" t="s">
        <v>64</v>
      </c>
      <c r="U69" s="4">
        <v>0.131955444311814</v>
      </c>
      <c r="V69" t="s">
        <v>56</v>
      </c>
      <c r="W69" t="s">
        <v>41</v>
      </c>
      <c r="X69" s="5">
        <v>169.27180138478599</v>
      </c>
      <c r="Y69">
        <f>Table13[[#This Row],[Shipping_LT]]+Table13[[#This Row],[Supplier_LT]]+Table13[[#This Row],[Mfg_LT]]</f>
        <v>30</v>
      </c>
    </row>
    <row r="70" spans="1:25" x14ac:dyDescent="0.25">
      <c r="A70" t="s">
        <v>200</v>
      </c>
      <c r="B70" t="s">
        <v>122</v>
      </c>
      <c r="C70" s="5">
        <v>37.931812382790298</v>
      </c>
      <c r="D70">
        <v>29</v>
      </c>
      <c r="E70">
        <v>163</v>
      </c>
      <c r="F70" s="5">
        <v>3550.21843278099</v>
      </c>
      <c r="G70" t="s">
        <v>26</v>
      </c>
      <c r="H70">
        <v>0</v>
      </c>
      <c r="I70">
        <v>8</v>
      </c>
      <c r="J70">
        <v>58</v>
      </c>
      <c r="K70">
        <v>8</v>
      </c>
      <c r="L70" t="s">
        <v>27</v>
      </c>
      <c r="M70" s="5">
        <v>1.19425186488499</v>
      </c>
      <c r="N70" t="s">
        <v>61</v>
      </c>
      <c r="O70" t="s">
        <v>53</v>
      </c>
      <c r="P70">
        <v>2</v>
      </c>
      <c r="Q70">
        <v>375</v>
      </c>
      <c r="R70">
        <v>18</v>
      </c>
      <c r="S70" s="5">
        <v>97.113581563462205</v>
      </c>
      <c r="T70" t="s">
        <v>46</v>
      </c>
      <c r="U70" s="4">
        <v>1.9834678721741801</v>
      </c>
      <c r="V70" t="s">
        <v>47</v>
      </c>
      <c r="W70" t="s">
        <v>48</v>
      </c>
      <c r="X70" s="5">
        <v>299.70630311810299</v>
      </c>
      <c r="Y70">
        <f>Table13[[#This Row],[Shipping_LT]]+Table13[[#This Row],[Supplier_LT]]+Table13[[#This Row],[Mfg_LT]]</f>
        <v>28</v>
      </c>
    </row>
    <row r="71" spans="1:25" x14ac:dyDescent="0.25">
      <c r="A71" t="s">
        <v>201</v>
      </c>
      <c r="B71" t="s">
        <v>123</v>
      </c>
      <c r="C71" s="5">
        <v>54.865528517069698</v>
      </c>
      <c r="D71">
        <v>62</v>
      </c>
      <c r="E71">
        <v>511</v>
      </c>
      <c r="F71" s="5">
        <v>1752.3810874841199</v>
      </c>
      <c r="G71" t="s">
        <v>26</v>
      </c>
      <c r="H71">
        <v>95</v>
      </c>
      <c r="I71">
        <v>1</v>
      </c>
      <c r="J71">
        <v>27</v>
      </c>
      <c r="K71">
        <v>3</v>
      </c>
      <c r="L71" t="s">
        <v>27</v>
      </c>
      <c r="M71" s="5">
        <v>9.7052867901203399</v>
      </c>
      <c r="N71" t="s">
        <v>52</v>
      </c>
      <c r="O71" t="s">
        <v>45</v>
      </c>
      <c r="P71">
        <v>9</v>
      </c>
      <c r="Q71">
        <v>862</v>
      </c>
      <c r="R71">
        <v>7</v>
      </c>
      <c r="S71" s="5">
        <v>77.627765812748095</v>
      </c>
      <c r="T71" t="s">
        <v>30</v>
      </c>
      <c r="U71" s="4">
        <v>1.3623879886490999</v>
      </c>
      <c r="V71" t="s">
        <v>40</v>
      </c>
      <c r="W71" t="s">
        <v>48</v>
      </c>
      <c r="X71" s="5">
        <v>207.66320620857499</v>
      </c>
      <c r="Y71">
        <f>Table13[[#This Row],[Shipping_LT]]+Table13[[#This Row],[Supplier_LT]]+Table13[[#This Row],[Mfg_LT]]</f>
        <v>17</v>
      </c>
    </row>
    <row r="72" spans="1:25" x14ac:dyDescent="0.25">
      <c r="A72" t="s">
        <v>200</v>
      </c>
      <c r="B72" t="s">
        <v>124</v>
      </c>
      <c r="C72" s="5">
        <v>47.914541824058702</v>
      </c>
      <c r="D72">
        <v>90</v>
      </c>
      <c r="E72">
        <v>32</v>
      </c>
      <c r="F72" s="5">
        <v>7014.8879872033804</v>
      </c>
      <c r="G72" t="s">
        <v>35</v>
      </c>
      <c r="H72">
        <v>10</v>
      </c>
      <c r="I72">
        <v>12</v>
      </c>
      <c r="J72">
        <v>22</v>
      </c>
      <c r="K72">
        <v>4</v>
      </c>
      <c r="L72" t="s">
        <v>27</v>
      </c>
      <c r="M72" s="5">
        <v>6.3157177546007199</v>
      </c>
      <c r="N72" t="s">
        <v>39</v>
      </c>
      <c r="O72" t="s">
        <v>53</v>
      </c>
      <c r="P72">
        <v>22</v>
      </c>
      <c r="Q72">
        <v>775</v>
      </c>
      <c r="R72">
        <v>16</v>
      </c>
      <c r="S72" s="5">
        <v>11.440781823761199</v>
      </c>
      <c r="T72" t="s">
        <v>64</v>
      </c>
      <c r="U72" s="4">
        <v>1.8305755986122301</v>
      </c>
      <c r="V72" t="s">
        <v>31</v>
      </c>
      <c r="W72" t="s">
        <v>41</v>
      </c>
      <c r="X72" s="5">
        <v>183.27289874871099</v>
      </c>
      <c r="Y72">
        <f>Table13[[#This Row],[Shipping_LT]]+Table13[[#This Row],[Supplier_LT]]+Table13[[#This Row],[Mfg_LT]]</f>
        <v>50</v>
      </c>
    </row>
    <row r="73" spans="1:25" x14ac:dyDescent="0.25">
      <c r="A73" t="s">
        <v>199</v>
      </c>
      <c r="B73" t="s">
        <v>125</v>
      </c>
      <c r="C73" s="5">
        <v>6.3815331627479601</v>
      </c>
      <c r="D73">
        <v>14</v>
      </c>
      <c r="E73">
        <v>637</v>
      </c>
      <c r="F73" s="5">
        <v>8180.3370854254399</v>
      </c>
      <c r="G73" t="s">
        <v>35</v>
      </c>
      <c r="H73">
        <v>76</v>
      </c>
      <c r="I73">
        <v>2</v>
      </c>
      <c r="J73">
        <v>26</v>
      </c>
      <c r="K73">
        <v>6</v>
      </c>
      <c r="L73" t="s">
        <v>36</v>
      </c>
      <c r="M73" s="5">
        <v>9.2281903170525101</v>
      </c>
      <c r="N73" t="s">
        <v>61</v>
      </c>
      <c r="O73" t="s">
        <v>53</v>
      </c>
      <c r="P73">
        <v>2</v>
      </c>
      <c r="Q73">
        <v>258</v>
      </c>
      <c r="R73">
        <v>10</v>
      </c>
      <c r="S73" s="5">
        <v>30.661677477859499</v>
      </c>
      <c r="T73" t="s">
        <v>30</v>
      </c>
      <c r="U73" s="4">
        <v>2.07875060787496</v>
      </c>
      <c r="V73" t="s">
        <v>31</v>
      </c>
      <c r="W73" t="s">
        <v>48</v>
      </c>
      <c r="X73" s="5">
        <v>405.167067888855</v>
      </c>
      <c r="Y73">
        <f>Table13[[#This Row],[Shipping_LT]]+Table13[[#This Row],[Supplier_LT]]+Table13[[#This Row],[Mfg_LT]]</f>
        <v>14</v>
      </c>
    </row>
    <row r="74" spans="1:25" x14ac:dyDescent="0.25">
      <c r="A74" t="s">
        <v>199</v>
      </c>
      <c r="B74" t="s">
        <v>126</v>
      </c>
      <c r="C74" s="5">
        <v>90.204427520528</v>
      </c>
      <c r="D74">
        <v>88</v>
      </c>
      <c r="E74">
        <v>478</v>
      </c>
      <c r="F74" s="5">
        <v>2633.1219813122498</v>
      </c>
      <c r="G74" t="s">
        <v>26</v>
      </c>
      <c r="H74">
        <v>57</v>
      </c>
      <c r="I74">
        <v>29</v>
      </c>
      <c r="J74">
        <v>77</v>
      </c>
      <c r="K74">
        <v>9</v>
      </c>
      <c r="L74" t="s">
        <v>36</v>
      </c>
      <c r="M74" s="5">
        <v>6.5996141596895397</v>
      </c>
      <c r="N74" t="s">
        <v>39</v>
      </c>
      <c r="O74" t="s">
        <v>53</v>
      </c>
      <c r="P74">
        <v>21</v>
      </c>
      <c r="Q74">
        <v>152</v>
      </c>
      <c r="R74">
        <v>11</v>
      </c>
      <c r="S74" s="5">
        <v>55.760492895244198</v>
      </c>
      <c r="T74" t="s">
        <v>30</v>
      </c>
      <c r="U74" s="4">
        <v>3.2133296074383</v>
      </c>
      <c r="V74" t="s">
        <v>47</v>
      </c>
      <c r="W74" t="s">
        <v>32</v>
      </c>
      <c r="X74" s="5">
        <v>677.94456984618296</v>
      </c>
      <c r="Y74">
        <f>Table13[[#This Row],[Shipping_LT]]+Table13[[#This Row],[Supplier_LT]]+Table13[[#This Row],[Mfg_LT]]</f>
        <v>61</v>
      </c>
    </row>
    <row r="75" spans="1:25" x14ac:dyDescent="0.25">
      <c r="A75" t="s">
        <v>199</v>
      </c>
      <c r="B75" t="s">
        <v>127</v>
      </c>
      <c r="C75" s="5">
        <v>83.851017681304597</v>
      </c>
      <c r="D75">
        <v>41</v>
      </c>
      <c r="E75">
        <v>375</v>
      </c>
      <c r="F75" s="5">
        <v>7910.8869161406801</v>
      </c>
      <c r="G75" t="s">
        <v>55</v>
      </c>
      <c r="H75">
        <v>17</v>
      </c>
      <c r="I75">
        <v>25</v>
      </c>
      <c r="J75">
        <v>66</v>
      </c>
      <c r="K75">
        <v>5</v>
      </c>
      <c r="L75" t="s">
        <v>27</v>
      </c>
      <c r="M75" s="5">
        <v>1.5129368369160701</v>
      </c>
      <c r="N75" t="s">
        <v>52</v>
      </c>
      <c r="O75" t="s">
        <v>62</v>
      </c>
      <c r="P75">
        <v>13</v>
      </c>
      <c r="Q75">
        <v>444</v>
      </c>
      <c r="R75">
        <v>4</v>
      </c>
      <c r="S75" s="5">
        <v>46.870238797617098</v>
      </c>
      <c r="T75" t="s">
        <v>46</v>
      </c>
      <c r="U75" s="4">
        <v>4.6205460645137002</v>
      </c>
      <c r="V75" t="s">
        <v>31</v>
      </c>
      <c r="W75" t="s">
        <v>48</v>
      </c>
      <c r="X75" s="5">
        <v>866.472800129657</v>
      </c>
      <c r="Y75">
        <f>Table13[[#This Row],[Shipping_LT]]+Table13[[#This Row],[Supplier_LT]]+Table13[[#This Row],[Mfg_LT]]</f>
        <v>42</v>
      </c>
    </row>
    <row r="76" spans="1:25" x14ac:dyDescent="0.25">
      <c r="A76" t="s">
        <v>200</v>
      </c>
      <c r="B76" t="s">
        <v>128</v>
      </c>
      <c r="C76" s="5">
        <v>3.1700114135661499</v>
      </c>
      <c r="D76">
        <v>64</v>
      </c>
      <c r="E76">
        <v>904</v>
      </c>
      <c r="F76" s="5">
        <v>5709.9452959692799</v>
      </c>
      <c r="G76" t="s">
        <v>35</v>
      </c>
      <c r="H76">
        <v>41</v>
      </c>
      <c r="I76">
        <v>6</v>
      </c>
      <c r="J76">
        <v>1</v>
      </c>
      <c r="K76">
        <v>5</v>
      </c>
      <c r="L76" t="s">
        <v>36</v>
      </c>
      <c r="M76" s="5">
        <v>5.2376546500374399</v>
      </c>
      <c r="N76" t="s">
        <v>52</v>
      </c>
      <c r="O76" t="s">
        <v>50</v>
      </c>
      <c r="P76">
        <v>1</v>
      </c>
      <c r="Q76">
        <v>919</v>
      </c>
      <c r="R76">
        <v>9</v>
      </c>
      <c r="S76" s="5">
        <v>80.580852156447804</v>
      </c>
      <c r="T76" t="s">
        <v>46</v>
      </c>
      <c r="U76" s="4">
        <v>0.39661272410993498</v>
      </c>
      <c r="V76" t="s">
        <v>47</v>
      </c>
      <c r="W76" t="s">
        <v>48</v>
      </c>
      <c r="X76" s="5">
        <v>341.55265678322297</v>
      </c>
      <c r="Y76">
        <f>Table13[[#This Row],[Shipping_LT]]+Table13[[#This Row],[Supplier_LT]]+Table13[[#This Row],[Mfg_LT]]</f>
        <v>16</v>
      </c>
    </row>
    <row r="77" spans="1:25" x14ac:dyDescent="0.25">
      <c r="A77" t="s">
        <v>201</v>
      </c>
      <c r="B77" t="s">
        <v>129</v>
      </c>
      <c r="C77" s="5">
        <v>92.996884233970604</v>
      </c>
      <c r="D77">
        <v>29</v>
      </c>
      <c r="E77">
        <v>106</v>
      </c>
      <c r="F77" s="5">
        <v>1889.07358977933</v>
      </c>
      <c r="G77" t="s">
        <v>26</v>
      </c>
      <c r="H77">
        <v>16</v>
      </c>
      <c r="I77">
        <v>20</v>
      </c>
      <c r="J77">
        <v>56</v>
      </c>
      <c r="K77">
        <v>10</v>
      </c>
      <c r="L77" t="s">
        <v>43</v>
      </c>
      <c r="M77" s="5">
        <v>2.47389776104546</v>
      </c>
      <c r="N77" t="s">
        <v>39</v>
      </c>
      <c r="O77" t="s">
        <v>62</v>
      </c>
      <c r="P77">
        <v>25</v>
      </c>
      <c r="Q77">
        <v>759</v>
      </c>
      <c r="R77">
        <v>11</v>
      </c>
      <c r="S77" s="5">
        <v>48.064782640006499</v>
      </c>
      <c r="T77" t="s">
        <v>64</v>
      </c>
      <c r="U77" s="4">
        <v>2.0300690886687498</v>
      </c>
      <c r="V77" t="s">
        <v>40</v>
      </c>
      <c r="W77" t="s">
        <v>41</v>
      </c>
      <c r="X77" s="5">
        <v>873.12964801765099</v>
      </c>
      <c r="Y77">
        <f>Table13[[#This Row],[Shipping_LT]]+Table13[[#This Row],[Supplier_LT]]+Table13[[#This Row],[Mfg_LT]]</f>
        <v>56</v>
      </c>
    </row>
    <row r="78" spans="1:25" x14ac:dyDescent="0.25">
      <c r="A78" t="s">
        <v>200</v>
      </c>
      <c r="B78" t="s">
        <v>130</v>
      </c>
      <c r="C78" s="5">
        <v>69.108799547430294</v>
      </c>
      <c r="D78">
        <v>23</v>
      </c>
      <c r="E78">
        <v>241</v>
      </c>
      <c r="F78" s="5">
        <v>5328.3759842977497</v>
      </c>
      <c r="G78" t="s">
        <v>55</v>
      </c>
      <c r="H78">
        <v>38</v>
      </c>
      <c r="I78">
        <v>1</v>
      </c>
      <c r="J78">
        <v>22</v>
      </c>
      <c r="K78">
        <v>10</v>
      </c>
      <c r="L78" t="s">
        <v>36</v>
      </c>
      <c r="M78" s="5">
        <v>7.0545383368369201</v>
      </c>
      <c r="N78" t="s">
        <v>61</v>
      </c>
      <c r="O78" t="s">
        <v>53</v>
      </c>
      <c r="P78">
        <v>25</v>
      </c>
      <c r="Q78">
        <v>985</v>
      </c>
      <c r="R78">
        <v>24</v>
      </c>
      <c r="S78" s="5">
        <v>64.323597795600193</v>
      </c>
      <c r="T78" t="s">
        <v>30</v>
      </c>
      <c r="U78" s="4">
        <v>2.1800374515822099</v>
      </c>
      <c r="V78" t="s">
        <v>47</v>
      </c>
      <c r="W78" t="s">
        <v>48</v>
      </c>
      <c r="X78" s="5">
        <v>997.41345013319403</v>
      </c>
      <c r="Y78">
        <f>Table13[[#This Row],[Shipping_LT]]+Table13[[#This Row],[Supplier_LT]]+Table13[[#This Row],[Mfg_LT]]</f>
        <v>50</v>
      </c>
    </row>
    <row r="79" spans="1:25" x14ac:dyDescent="0.25">
      <c r="A79" t="s">
        <v>200</v>
      </c>
      <c r="B79" t="s">
        <v>131</v>
      </c>
      <c r="C79" s="5">
        <v>57.449742958971399</v>
      </c>
      <c r="D79">
        <v>14</v>
      </c>
      <c r="E79">
        <v>359</v>
      </c>
      <c r="F79" s="5">
        <v>2483.7601775427902</v>
      </c>
      <c r="G79" t="s">
        <v>38</v>
      </c>
      <c r="H79">
        <v>96</v>
      </c>
      <c r="I79">
        <v>28</v>
      </c>
      <c r="J79">
        <v>57</v>
      </c>
      <c r="K79">
        <v>4</v>
      </c>
      <c r="L79" t="s">
        <v>27</v>
      </c>
      <c r="M79" s="5">
        <v>6.7809466256178901</v>
      </c>
      <c r="N79" t="s">
        <v>39</v>
      </c>
      <c r="O79" t="s">
        <v>45</v>
      </c>
      <c r="P79">
        <v>26</v>
      </c>
      <c r="Q79">
        <v>334</v>
      </c>
      <c r="R79">
        <v>5</v>
      </c>
      <c r="S79" s="5">
        <v>42.952444748991802</v>
      </c>
      <c r="T79" t="s">
        <v>64</v>
      </c>
      <c r="U79" s="4">
        <v>3.0551418183075398</v>
      </c>
      <c r="V79" t="s">
        <v>31</v>
      </c>
      <c r="W79" t="s">
        <v>32</v>
      </c>
      <c r="X79" s="5">
        <v>852.56809891984994</v>
      </c>
      <c r="Y79">
        <f>Table13[[#This Row],[Shipping_LT]]+Table13[[#This Row],[Supplier_LT]]+Table13[[#This Row],[Mfg_LT]]</f>
        <v>59</v>
      </c>
    </row>
    <row r="80" spans="1:25" x14ac:dyDescent="0.25">
      <c r="A80" t="s">
        <v>200</v>
      </c>
      <c r="B80" t="s">
        <v>132</v>
      </c>
      <c r="C80" s="5">
        <v>6.30688317611191</v>
      </c>
      <c r="D80">
        <v>50</v>
      </c>
      <c r="E80">
        <v>946</v>
      </c>
      <c r="F80" s="5">
        <v>1292.45841793775</v>
      </c>
      <c r="G80" t="s">
        <v>38</v>
      </c>
      <c r="H80">
        <v>5</v>
      </c>
      <c r="I80">
        <v>4</v>
      </c>
      <c r="J80">
        <v>51</v>
      </c>
      <c r="K80">
        <v>5</v>
      </c>
      <c r="L80" t="s">
        <v>27</v>
      </c>
      <c r="M80" s="5">
        <v>8.4670497708619905</v>
      </c>
      <c r="N80" t="s">
        <v>44</v>
      </c>
      <c r="O80" t="s">
        <v>29</v>
      </c>
      <c r="P80">
        <v>25</v>
      </c>
      <c r="Q80">
        <v>858</v>
      </c>
      <c r="R80">
        <v>21</v>
      </c>
      <c r="S80" s="5">
        <v>71.126514720403307</v>
      </c>
      <c r="T80" t="s">
        <v>30</v>
      </c>
      <c r="U80" s="4">
        <v>4.0968813324704501</v>
      </c>
      <c r="V80" t="s">
        <v>56</v>
      </c>
      <c r="W80" t="s">
        <v>41</v>
      </c>
      <c r="X80" s="5">
        <v>323.59220343132199</v>
      </c>
      <c r="Y80">
        <f>Table13[[#This Row],[Shipping_LT]]+Table13[[#This Row],[Supplier_LT]]+Table13[[#This Row],[Mfg_LT]]</f>
        <v>50</v>
      </c>
    </row>
    <row r="81" spans="1:25" x14ac:dyDescent="0.25">
      <c r="A81" t="s">
        <v>200</v>
      </c>
      <c r="B81" t="s">
        <v>133</v>
      </c>
      <c r="C81" s="5">
        <v>57.057031221103202</v>
      </c>
      <c r="D81">
        <v>56</v>
      </c>
      <c r="E81">
        <v>198</v>
      </c>
      <c r="F81" s="5">
        <v>7888.7232684270803</v>
      </c>
      <c r="G81" t="s">
        <v>26</v>
      </c>
      <c r="H81">
        <v>31</v>
      </c>
      <c r="I81">
        <v>25</v>
      </c>
      <c r="J81">
        <v>20</v>
      </c>
      <c r="K81">
        <v>1</v>
      </c>
      <c r="L81" t="s">
        <v>27</v>
      </c>
      <c r="M81" s="5">
        <v>6.49632536429504</v>
      </c>
      <c r="N81" t="s">
        <v>28</v>
      </c>
      <c r="O81" t="s">
        <v>53</v>
      </c>
      <c r="P81">
        <v>5</v>
      </c>
      <c r="Q81">
        <v>228</v>
      </c>
      <c r="R81">
        <v>12</v>
      </c>
      <c r="S81" s="5">
        <v>57.870902924036201</v>
      </c>
      <c r="T81" t="s">
        <v>30</v>
      </c>
      <c r="U81" s="4">
        <v>0.16587162748060799</v>
      </c>
      <c r="V81" t="s">
        <v>40</v>
      </c>
      <c r="W81" t="s">
        <v>41</v>
      </c>
      <c r="X81" s="5">
        <v>351.50421933503799</v>
      </c>
      <c r="Y81">
        <f>Table13[[#This Row],[Shipping_LT]]+Table13[[#This Row],[Supplier_LT]]+Table13[[#This Row],[Mfg_LT]]</f>
        <v>42</v>
      </c>
    </row>
    <row r="82" spans="1:25" x14ac:dyDescent="0.25">
      <c r="A82" t="s">
        <v>201</v>
      </c>
      <c r="B82" t="s">
        <v>134</v>
      </c>
      <c r="C82" s="5">
        <v>91.128318350444303</v>
      </c>
      <c r="D82">
        <v>75</v>
      </c>
      <c r="E82">
        <v>872</v>
      </c>
      <c r="F82" s="5">
        <v>8651.67268298206</v>
      </c>
      <c r="G82" t="s">
        <v>38</v>
      </c>
      <c r="H82">
        <v>39</v>
      </c>
      <c r="I82">
        <v>14</v>
      </c>
      <c r="J82">
        <v>41</v>
      </c>
      <c r="K82">
        <v>2</v>
      </c>
      <c r="L82" t="s">
        <v>43</v>
      </c>
      <c r="M82" s="5">
        <v>2.8331846794189701</v>
      </c>
      <c r="N82" t="s">
        <v>28</v>
      </c>
      <c r="O82" t="s">
        <v>62</v>
      </c>
      <c r="P82">
        <v>8</v>
      </c>
      <c r="Q82">
        <v>202</v>
      </c>
      <c r="R82">
        <v>5</v>
      </c>
      <c r="S82" s="5">
        <v>76.961228023819999</v>
      </c>
      <c r="T82" t="s">
        <v>46</v>
      </c>
      <c r="U82" s="4">
        <v>2.8496621985053299</v>
      </c>
      <c r="V82" t="s">
        <v>56</v>
      </c>
      <c r="W82" t="s">
        <v>32</v>
      </c>
      <c r="X82" s="5">
        <v>787.77985049434403</v>
      </c>
      <c r="Y82">
        <f>Table13[[#This Row],[Shipping_LT]]+Table13[[#This Row],[Supplier_LT]]+Table13[[#This Row],[Mfg_LT]]</f>
        <v>27</v>
      </c>
    </row>
    <row r="83" spans="1:25" x14ac:dyDescent="0.25">
      <c r="A83" t="s">
        <v>200</v>
      </c>
      <c r="B83" t="s">
        <v>135</v>
      </c>
      <c r="C83" s="5">
        <v>72.819206930318202</v>
      </c>
      <c r="D83">
        <v>9</v>
      </c>
      <c r="E83">
        <v>774</v>
      </c>
      <c r="F83" s="5">
        <v>4384.4134000458598</v>
      </c>
      <c r="G83" t="s">
        <v>38</v>
      </c>
      <c r="H83">
        <v>48</v>
      </c>
      <c r="I83">
        <v>6</v>
      </c>
      <c r="J83">
        <v>8</v>
      </c>
      <c r="K83">
        <v>5</v>
      </c>
      <c r="L83" t="s">
        <v>27</v>
      </c>
      <c r="M83" s="5">
        <v>4.0662775015120403</v>
      </c>
      <c r="N83" t="s">
        <v>28</v>
      </c>
      <c r="O83" t="s">
        <v>50</v>
      </c>
      <c r="P83">
        <v>28</v>
      </c>
      <c r="Q83">
        <v>698</v>
      </c>
      <c r="R83">
        <v>1</v>
      </c>
      <c r="S83" s="5">
        <v>19.789592941903599</v>
      </c>
      <c r="T83" t="s">
        <v>30</v>
      </c>
      <c r="U83" s="4">
        <v>2.54754712154871</v>
      </c>
      <c r="V83" t="s">
        <v>47</v>
      </c>
      <c r="W83" t="s">
        <v>32</v>
      </c>
      <c r="X83" s="5">
        <v>276.77833594679799</v>
      </c>
      <c r="Y83">
        <f>Table13[[#This Row],[Shipping_LT]]+Table13[[#This Row],[Supplier_LT]]+Table13[[#This Row],[Mfg_LT]]</f>
        <v>35</v>
      </c>
    </row>
    <row r="84" spans="1:25" x14ac:dyDescent="0.25">
      <c r="A84" t="s">
        <v>201</v>
      </c>
      <c r="B84" t="s">
        <v>136</v>
      </c>
      <c r="C84" s="5">
        <v>17.034930739467899</v>
      </c>
      <c r="D84">
        <v>13</v>
      </c>
      <c r="E84">
        <v>336</v>
      </c>
      <c r="F84" s="5">
        <v>2943.3818676094502</v>
      </c>
      <c r="G84" t="s">
        <v>38</v>
      </c>
      <c r="H84">
        <v>42</v>
      </c>
      <c r="I84">
        <v>19</v>
      </c>
      <c r="J84">
        <v>72</v>
      </c>
      <c r="K84">
        <v>1</v>
      </c>
      <c r="L84" t="s">
        <v>36</v>
      </c>
      <c r="M84" s="5">
        <v>4.7081818735419301</v>
      </c>
      <c r="N84" t="s">
        <v>61</v>
      </c>
      <c r="O84" t="s">
        <v>29</v>
      </c>
      <c r="P84">
        <v>6</v>
      </c>
      <c r="Q84">
        <v>955</v>
      </c>
      <c r="R84">
        <v>26</v>
      </c>
      <c r="S84" s="5">
        <v>4.4652784349432402</v>
      </c>
      <c r="T84" t="s">
        <v>30</v>
      </c>
      <c r="U84" s="4">
        <v>4.1378770486223502</v>
      </c>
      <c r="V84" t="s">
        <v>31</v>
      </c>
      <c r="W84" t="s">
        <v>41</v>
      </c>
      <c r="X84" s="5">
        <v>589.97855562804</v>
      </c>
      <c r="Y84">
        <f>Table13[[#This Row],[Shipping_LT]]+Table13[[#This Row],[Supplier_LT]]+Table13[[#This Row],[Mfg_LT]]</f>
        <v>51</v>
      </c>
    </row>
    <row r="85" spans="1:25" x14ac:dyDescent="0.25">
      <c r="A85" t="s">
        <v>200</v>
      </c>
      <c r="B85" t="s">
        <v>137</v>
      </c>
      <c r="C85" s="5">
        <v>68.911246211606297</v>
      </c>
      <c r="D85">
        <v>82</v>
      </c>
      <c r="E85">
        <v>663</v>
      </c>
      <c r="F85" s="5">
        <v>2411.7546321104901</v>
      </c>
      <c r="G85" t="s">
        <v>38</v>
      </c>
      <c r="H85">
        <v>65</v>
      </c>
      <c r="I85">
        <v>24</v>
      </c>
      <c r="J85">
        <v>7</v>
      </c>
      <c r="K85">
        <v>8</v>
      </c>
      <c r="L85" t="s">
        <v>27</v>
      </c>
      <c r="M85" s="5">
        <v>4.94983957799694</v>
      </c>
      <c r="N85" t="s">
        <v>39</v>
      </c>
      <c r="O85" t="s">
        <v>53</v>
      </c>
      <c r="P85">
        <v>20</v>
      </c>
      <c r="Q85">
        <v>443</v>
      </c>
      <c r="R85">
        <v>5</v>
      </c>
      <c r="S85" s="5">
        <v>97.730593800533001</v>
      </c>
      <c r="T85" t="s">
        <v>46</v>
      </c>
      <c r="U85" s="4">
        <v>0.77300613406724705</v>
      </c>
      <c r="V85" t="s">
        <v>31</v>
      </c>
      <c r="W85" t="s">
        <v>48</v>
      </c>
      <c r="X85" s="5">
        <v>682.97101822609295</v>
      </c>
      <c r="Y85">
        <f>Table13[[#This Row],[Shipping_LT]]+Table13[[#This Row],[Supplier_LT]]+Table13[[#This Row],[Mfg_LT]]</f>
        <v>49</v>
      </c>
    </row>
    <row r="86" spans="1:25" x14ac:dyDescent="0.25">
      <c r="A86" t="s">
        <v>200</v>
      </c>
      <c r="B86" t="s">
        <v>138</v>
      </c>
      <c r="C86" s="5">
        <v>89.104367292102197</v>
      </c>
      <c r="D86">
        <v>99</v>
      </c>
      <c r="E86">
        <v>618</v>
      </c>
      <c r="F86" s="5">
        <v>2048.2900998487098</v>
      </c>
      <c r="G86" t="s">
        <v>38</v>
      </c>
      <c r="H86">
        <v>73</v>
      </c>
      <c r="I86">
        <v>26</v>
      </c>
      <c r="J86">
        <v>80</v>
      </c>
      <c r="K86">
        <v>10</v>
      </c>
      <c r="L86" t="s">
        <v>36</v>
      </c>
      <c r="M86" s="5">
        <v>8.3816156249226292</v>
      </c>
      <c r="N86" t="s">
        <v>44</v>
      </c>
      <c r="O86" t="s">
        <v>62</v>
      </c>
      <c r="P86">
        <v>24</v>
      </c>
      <c r="Q86">
        <v>589</v>
      </c>
      <c r="R86">
        <v>22</v>
      </c>
      <c r="S86" s="5">
        <v>33.808636513209002</v>
      </c>
      <c r="T86" t="s">
        <v>64</v>
      </c>
      <c r="U86" s="4">
        <v>4.8434565771180402</v>
      </c>
      <c r="V86" t="s">
        <v>40</v>
      </c>
      <c r="W86" t="s">
        <v>32</v>
      </c>
      <c r="X86" s="5">
        <v>465.45700596368698</v>
      </c>
      <c r="Y86">
        <f>Table13[[#This Row],[Shipping_LT]]+Table13[[#This Row],[Supplier_LT]]+Table13[[#This Row],[Mfg_LT]]</f>
        <v>72</v>
      </c>
    </row>
    <row r="87" spans="1:25" x14ac:dyDescent="0.25">
      <c r="A87" t="s">
        <v>199</v>
      </c>
      <c r="B87" t="s">
        <v>139</v>
      </c>
      <c r="C87" s="5">
        <v>76.962994415193805</v>
      </c>
      <c r="D87">
        <v>83</v>
      </c>
      <c r="E87">
        <v>25</v>
      </c>
      <c r="F87" s="5">
        <v>8684.6130592538502</v>
      </c>
      <c r="G87" t="s">
        <v>35</v>
      </c>
      <c r="H87">
        <v>15</v>
      </c>
      <c r="I87">
        <v>18</v>
      </c>
      <c r="J87">
        <v>66</v>
      </c>
      <c r="K87">
        <v>2</v>
      </c>
      <c r="L87" t="s">
        <v>43</v>
      </c>
      <c r="M87" s="5">
        <v>8.2491687048717193</v>
      </c>
      <c r="N87" t="s">
        <v>44</v>
      </c>
      <c r="O87" t="s">
        <v>62</v>
      </c>
      <c r="P87">
        <v>4</v>
      </c>
      <c r="Q87">
        <v>211</v>
      </c>
      <c r="R87">
        <v>2</v>
      </c>
      <c r="S87" s="5">
        <v>69.929345518672307</v>
      </c>
      <c r="T87" t="s">
        <v>46</v>
      </c>
      <c r="U87" s="4">
        <v>1.3744289997457499</v>
      </c>
      <c r="V87" t="s">
        <v>31</v>
      </c>
      <c r="W87" t="s">
        <v>32</v>
      </c>
      <c r="X87" s="5">
        <v>842.68683000464102</v>
      </c>
      <c r="Y87">
        <f>Table13[[#This Row],[Shipping_LT]]+Table13[[#This Row],[Supplier_LT]]+Table13[[#This Row],[Mfg_LT]]</f>
        <v>24</v>
      </c>
    </row>
    <row r="88" spans="1:25" x14ac:dyDescent="0.25">
      <c r="A88" t="s">
        <v>201</v>
      </c>
      <c r="B88" t="s">
        <v>140</v>
      </c>
      <c r="C88" s="5">
        <v>19.9981769404042</v>
      </c>
      <c r="D88">
        <v>18</v>
      </c>
      <c r="E88">
        <v>223</v>
      </c>
      <c r="F88" s="5">
        <v>1229.59102856498</v>
      </c>
      <c r="G88" t="s">
        <v>38</v>
      </c>
      <c r="H88">
        <v>32</v>
      </c>
      <c r="I88">
        <v>14</v>
      </c>
      <c r="J88">
        <v>22</v>
      </c>
      <c r="K88">
        <v>6</v>
      </c>
      <c r="L88" t="s">
        <v>27</v>
      </c>
      <c r="M88" s="5">
        <v>1.4543053101535499</v>
      </c>
      <c r="N88" t="s">
        <v>39</v>
      </c>
      <c r="O88" t="s">
        <v>29</v>
      </c>
      <c r="P88">
        <v>4</v>
      </c>
      <c r="Q88">
        <v>569</v>
      </c>
      <c r="R88">
        <v>18</v>
      </c>
      <c r="S88" s="5">
        <v>74.608969995194599</v>
      </c>
      <c r="T88" t="s">
        <v>64</v>
      </c>
      <c r="U88" s="4">
        <v>2.0515129307662399</v>
      </c>
      <c r="V88" t="s">
        <v>47</v>
      </c>
      <c r="W88" t="s">
        <v>48</v>
      </c>
      <c r="X88" s="5">
        <v>264.25488983586598</v>
      </c>
      <c r="Y88">
        <f>Table13[[#This Row],[Shipping_LT]]+Table13[[#This Row],[Supplier_LT]]+Table13[[#This Row],[Mfg_LT]]</f>
        <v>36</v>
      </c>
    </row>
    <row r="89" spans="1:25" x14ac:dyDescent="0.25">
      <c r="A89" t="s">
        <v>200</v>
      </c>
      <c r="B89" t="s">
        <v>141</v>
      </c>
      <c r="C89" s="5">
        <v>80.414036650355698</v>
      </c>
      <c r="D89">
        <v>24</v>
      </c>
      <c r="E89">
        <v>79</v>
      </c>
      <c r="F89" s="5">
        <v>5133.8467010866898</v>
      </c>
      <c r="G89" t="s">
        <v>55</v>
      </c>
      <c r="H89">
        <v>5</v>
      </c>
      <c r="I89">
        <v>7</v>
      </c>
      <c r="J89">
        <v>55</v>
      </c>
      <c r="K89">
        <v>10</v>
      </c>
      <c r="L89" t="s">
        <v>36</v>
      </c>
      <c r="M89" s="5">
        <v>6.5758037975485299</v>
      </c>
      <c r="N89" t="s">
        <v>28</v>
      </c>
      <c r="O89" t="s">
        <v>62</v>
      </c>
      <c r="P89">
        <v>27</v>
      </c>
      <c r="Q89">
        <v>523</v>
      </c>
      <c r="R89">
        <v>17</v>
      </c>
      <c r="S89" s="5">
        <v>28.696996824143099</v>
      </c>
      <c r="T89" t="s">
        <v>46</v>
      </c>
      <c r="U89" s="4">
        <v>3.6937377878392699</v>
      </c>
      <c r="V89" t="s">
        <v>56</v>
      </c>
      <c r="W89" t="s">
        <v>32</v>
      </c>
      <c r="X89" s="5">
        <v>879.35921773492396</v>
      </c>
      <c r="Y89">
        <f>Table13[[#This Row],[Shipping_LT]]+Table13[[#This Row],[Supplier_LT]]+Table13[[#This Row],[Mfg_LT]]</f>
        <v>51</v>
      </c>
    </row>
    <row r="90" spans="1:25" x14ac:dyDescent="0.25">
      <c r="A90" t="s">
        <v>199</v>
      </c>
      <c r="B90" t="s">
        <v>142</v>
      </c>
      <c r="C90" s="5">
        <v>75.270406975724995</v>
      </c>
      <c r="D90">
        <v>58</v>
      </c>
      <c r="E90">
        <v>737</v>
      </c>
      <c r="F90" s="5">
        <v>9444.7420330629793</v>
      </c>
      <c r="G90" t="s">
        <v>55</v>
      </c>
      <c r="H90">
        <v>60</v>
      </c>
      <c r="I90">
        <v>18</v>
      </c>
      <c r="J90">
        <v>85</v>
      </c>
      <c r="K90">
        <v>7</v>
      </c>
      <c r="L90" t="s">
        <v>36</v>
      </c>
      <c r="M90" s="5">
        <v>3.8012531329310701</v>
      </c>
      <c r="N90" t="s">
        <v>61</v>
      </c>
      <c r="O90" t="s">
        <v>29</v>
      </c>
      <c r="P90">
        <v>21</v>
      </c>
      <c r="Q90">
        <v>953</v>
      </c>
      <c r="R90">
        <v>11</v>
      </c>
      <c r="S90" s="5">
        <v>68.1849190570411</v>
      </c>
      <c r="T90" t="s">
        <v>30</v>
      </c>
      <c r="U90" s="4">
        <v>0.722204401882931</v>
      </c>
      <c r="V90" t="s">
        <v>56</v>
      </c>
      <c r="W90" t="s">
        <v>48</v>
      </c>
      <c r="X90" s="5">
        <v>103.916247960704</v>
      </c>
      <c r="Y90">
        <f>Table13[[#This Row],[Shipping_LT]]+Table13[[#This Row],[Supplier_LT]]+Table13[[#This Row],[Mfg_LT]]</f>
        <v>50</v>
      </c>
    </row>
    <row r="91" spans="1:25" x14ac:dyDescent="0.25">
      <c r="A91" t="s">
        <v>199</v>
      </c>
      <c r="B91" t="s">
        <v>143</v>
      </c>
      <c r="C91" s="5">
        <v>97.760085581938597</v>
      </c>
      <c r="D91">
        <v>10</v>
      </c>
      <c r="E91">
        <v>134</v>
      </c>
      <c r="F91" s="5">
        <v>5924.6825668532301</v>
      </c>
      <c r="G91" t="s">
        <v>38</v>
      </c>
      <c r="H91">
        <v>90</v>
      </c>
      <c r="I91">
        <v>1</v>
      </c>
      <c r="J91">
        <v>27</v>
      </c>
      <c r="K91">
        <v>8</v>
      </c>
      <c r="L91" t="s">
        <v>27</v>
      </c>
      <c r="M91" s="5">
        <v>9.9298162452772498</v>
      </c>
      <c r="N91" t="s">
        <v>39</v>
      </c>
      <c r="O91" t="s">
        <v>45</v>
      </c>
      <c r="P91">
        <v>23</v>
      </c>
      <c r="Q91">
        <v>370</v>
      </c>
      <c r="R91">
        <v>11</v>
      </c>
      <c r="S91" s="5">
        <v>46.603873381644398</v>
      </c>
      <c r="T91" t="s">
        <v>30</v>
      </c>
      <c r="U91" s="4">
        <v>1.9076657339590699</v>
      </c>
      <c r="V91" t="s">
        <v>47</v>
      </c>
      <c r="W91" t="s">
        <v>32</v>
      </c>
      <c r="X91" s="5">
        <v>517.49997392906005</v>
      </c>
      <c r="Y91">
        <f>Table13[[#This Row],[Shipping_LT]]+Table13[[#This Row],[Supplier_LT]]+Table13[[#This Row],[Mfg_LT]]</f>
        <v>35</v>
      </c>
    </row>
    <row r="92" spans="1:25" x14ac:dyDescent="0.25">
      <c r="A92" t="s">
        <v>201</v>
      </c>
      <c r="B92" t="s">
        <v>144</v>
      </c>
      <c r="C92" s="5">
        <v>13.881913501359101</v>
      </c>
      <c r="D92">
        <v>56</v>
      </c>
      <c r="E92">
        <v>320</v>
      </c>
      <c r="F92" s="5">
        <v>9592.6335702803099</v>
      </c>
      <c r="G92" t="s">
        <v>26</v>
      </c>
      <c r="H92">
        <v>66</v>
      </c>
      <c r="I92">
        <v>18</v>
      </c>
      <c r="J92">
        <v>96</v>
      </c>
      <c r="K92">
        <v>7</v>
      </c>
      <c r="L92" t="s">
        <v>27</v>
      </c>
      <c r="M92" s="5">
        <v>7.6744307081126903</v>
      </c>
      <c r="N92" t="s">
        <v>28</v>
      </c>
      <c r="O92" t="s">
        <v>53</v>
      </c>
      <c r="P92">
        <v>8</v>
      </c>
      <c r="Q92">
        <v>585</v>
      </c>
      <c r="R92">
        <v>8</v>
      </c>
      <c r="S92" s="5">
        <v>85.675963335797903</v>
      </c>
      <c r="T92" t="s">
        <v>64</v>
      </c>
      <c r="U92" s="4">
        <v>1.2193822244013801</v>
      </c>
      <c r="V92" t="s">
        <v>47</v>
      </c>
      <c r="W92" t="s">
        <v>32</v>
      </c>
      <c r="X92" s="5">
        <v>990.07847250581096</v>
      </c>
      <c r="Y92">
        <f>Table13[[#This Row],[Shipping_LT]]+Table13[[#This Row],[Supplier_LT]]+Table13[[#This Row],[Mfg_LT]]</f>
        <v>34</v>
      </c>
    </row>
    <row r="93" spans="1:25" x14ac:dyDescent="0.25">
      <c r="A93" t="s">
        <v>199</v>
      </c>
      <c r="B93" t="s">
        <v>145</v>
      </c>
      <c r="C93" s="5">
        <v>62.111965463961702</v>
      </c>
      <c r="D93">
        <v>90</v>
      </c>
      <c r="E93">
        <v>916</v>
      </c>
      <c r="F93" s="5">
        <v>1935.20679350759</v>
      </c>
      <c r="G93" t="s">
        <v>55</v>
      </c>
      <c r="H93">
        <v>98</v>
      </c>
      <c r="I93">
        <v>22</v>
      </c>
      <c r="J93">
        <v>85</v>
      </c>
      <c r="K93">
        <v>7</v>
      </c>
      <c r="L93" t="s">
        <v>27</v>
      </c>
      <c r="M93" s="5">
        <v>7.4715140844011403</v>
      </c>
      <c r="N93" t="s">
        <v>52</v>
      </c>
      <c r="O93" t="s">
        <v>50</v>
      </c>
      <c r="P93">
        <v>5</v>
      </c>
      <c r="Q93">
        <v>207</v>
      </c>
      <c r="R93">
        <v>28</v>
      </c>
      <c r="S93" s="5">
        <v>39.772882502339897</v>
      </c>
      <c r="T93" t="s">
        <v>30</v>
      </c>
      <c r="U93" s="4">
        <v>0.62600185820939402</v>
      </c>
      <c r="V93" t="s">
        <v>47</v>
      </c>
      <c r="W93" t="s">
        <v>32</v>
      </c>
      <c r="X93" s="5">
        <v>996.77831495062298</v>
      </c>
      <c r="Y93">
        <f>Table13[[#This Row],[Shipping_LT]]+Table13[[#This Row],[Supplier_LT]]+Table13[[#This Row],[Mfg_LT]]</f>
        <v>55</v>
      </c>
    </row>
    <row r="94" spans="1:25" x14ac:dyDescent="0.25">
      <c r="A94" t="s">
        <v>199</v>
      </c>
      <c r="B94" t="s">
        <v>146</v>
      </c>
      <c r="C94" s="5">
        <v>47.714233075820196</v>
      </c>
      <c r="D94">
        <v>44</v>
      </c>
      <c r="E94">
        <v>276</v>
      </c>
      <c r="F94" s="5">
        <v>2100.1297546259302</v>
      </c>
      <c r="G94" t="s">
        <v>55</v>
      </c>
      <c r="H94">
        <v>90</v>
      </c>
      <c r="I94">
        <v>25</v>
      </c>
      <c r="J94">
        <v>10</v>
      </c>
      <c r="K94">
        <v>8</v>
      </c>
      <c r="L94" t="s">
        <v>27</v>
      </c>
      <c r="M94" s="5">
        <v>4.4695000261236002</v>
      </c>
      <c r="N94" t="s">
        <v>61</v>
      </c>
      <c r="O94" t="s">
        <v>29</v>
      </c>
      <c r="P94">
        <v>4</v>
      </c>
      <c r="Q94">
        <v>671</v>
      </c>
      <c r="R94">
        <v>29</v>
      </c>
      <c r="S94" s="5">
        <v>62.612690395614301</v>
      </c>
      <c r="T94" t="s">
        <v>64</v>
      </c>
      <c r="U94" s="4">
        <v>0.33343182522473902</v>
      </c>
      <c r="V94" t="s">
        <v>47</v>
      </c>
      <c r="W94" t="s">
        <v>32</v>
      </c>
      <c r="X94" s="5">
        <v>230.092782536762</v>
      </c>
      <c r="Y94">
        <f>Table13[[#This Row],[Shipping_LT]]+Table13[[#This Row],[Supplier_LT]]+Table13[[#This Row],[Mfg_LT]]</f>
        <v>58</v>
      </c>
    </row>
    <row r="95" spans="1:25" x14ac:dyDescent="0.25">
      <c r="A95" t="s">
        <v>200</v>
      </c>
      <c r="B95" t="s">
        <v>147</v>
      </c>
      <c r="C95" s="5">
        <v>69.290831002905406</v>
      </c>
      <c r="D95">
        <v>88</v>
      </c>
      <c r="E95">
        <v>114</v>
      </c>
      <c r="F95" s="5">
        <v>4531.4021336919004</v>
      </c>
      <c r="G95" t="s">
        <v>38</v>
      </c>
      <c r="H95">
        <v>63</v>
      </c>
      <c r="I95">
        <v>17</v>
      </c>
      <c r="J95">
        <v>66</v>
      </c>
      <c r="K95">
        <v>1</v>
      </c>
      <c r="L95" t="s">
        <v>43</v>
      </c>
      <c r="M95" s="5">
        <v>7.00643205900439</v>
      </c>
      <c r="N95" t="s">
        <v>52</v>
      </c>
      <c r="O95" t="s">
        <v>62</v>
      </c>
      <c r="P95">
        <v>21</v>
      </c>
      <c r="Q95">
        <v>824</v>
      </c>
      <c r="R95">
        <v>20</v>
      </c>
      <c r="S95" s="5">
        <v>35.633652343343797</v>
      </c>
      <c r="T95" t="s">
        <v>46</v>
      </c>
      <c r="U95" s="4">
        <v>4.1657817954241398</v>
      </c>
      <c r="V95" t="s">
        <v>40</v>
      </c>
      <c r="W95" t="s">
        <v>48</v>
      </c>
      <c r="X95" s="5">
        <v>823.52384588815505</v>
      </c>
      <c r="Y95">
        <f>Table13[[#This Row],[Shipping_LT]]+Table13[[#This Row],[Supplier_LT]]+Table13[[#This Row],[Mfg_LT]]</f>
        <v>58</v>
      </c>
    </row>
    <row r="96" spans="1:25" x14ac:dyDescent="0.25">
      <c r="A96" t="s">
        <v>199</v>
      </c>
      <c r="B96" t="s">
        <v>148</v>
      </c>
      <c r="C96" s="5">
        <v>3.0376887246314102</v>
      </c>
      <c r="D96">
        <v>97</v>
      </c>
      <c r="E96">
        <v>987</v>
      </c>
      <c r="F96" s="5">
        <v>7888.3565466618702</v>
      </c>
      <c r="G96" t="s">
        <v>38</v>
      </c>
      <c r="H96">
        <v>77</v>
      </c>
      <c r="I96">
        <v>26</v>
      </c>
      <c r="J96">
        <v>72</v>
      </c>
      <c r="K96">
        <v>9</v>
      </c>
      <c r="L96" t="s">
        <v>27</v>
      </c>
      <c r="M96" s="5">
        <v>6.9429459420325799</v>
      </c>
      <c r="N96" t="s">
        <v>61</v>
      </c>
      <c r="O96" t="s">
        <v>50</v>
      </c>
      <c r="P96">
        <v>12</v>
      </c>
      <c r="Q96">
        <v>908</v>
      </c>
      <c r="R96">
        <v>14</v>
      </c>
      <c r="S96" s="5">
        <v>60.387378614862101</v>
      </c>
      <c r="T96" t="s">
        <v>64</v>
      </c>
      <c r="U96" s="4">
        <v>1.4636074984727701</v>
      </c>
      <c r="V96" t="s">
        <v>47</v>
      </c>
      <c r="W96" t="s">
        <v>32</v>
      </c>
      <c r="X96" s="5">
        <v>846.66525698669398</v>
      </c>
      <c r="Y96">
        <f>Table13[[#This Row],[Shipping_LT]]+Table13[[#This Row],[Supplier_LT]]+Table13[[#This Row],[Mfg_LT]]</f>
        <v>52</v>
      </c>
    </row>
    <row r="97" spans="1:25" x14ac:dyDescent="0.25">
      <c r="A97" t="s">
        <v>200</v>
      </c>
      <c r="B97" t="s">
        <v>149</v>
      </c>
      <c r="C97" s="5">
        <v>77.903927219447695</v>
      </c>
      <c r="D97">
        <v>65</v>
      </c>
      <c r="E97">
        <v>672</v>
      </c>
      <c r="F97" s="5">
        <v>7386.3639440486604</v>
      </c>
      <c r="G97" t="s">
        <v>38</v>
      </c>
      <c r="H97">
        <v>15</v>
      </c>
      <c r="I97">
        <v>14</v>
      </c>
      <c r="J97">
        <v>26</v>
      </c>
      <c r="K97">
        <v>9</v>
      </c>
      <c r="L97" t="s">
        <v>27</v>
      </c>
      <c r="M97" s="5">
        <v>8.6303388696027508</v>
      </c>
      <c r="N97" t="s">
        <v>52</v>
      </c>
      <c r="O97" t="s">
        <v>29</v>
      </c>
      <c r="P97">
        <v>18</v>
      </c>
      <c r="Q97">
        <v>450</v>
      </c>
      <c r="R97">
        <v>26</v>
      </c>
      <c r="S97" s="5">
        <v>58.890685768589897</v>
      </c>
      <c r="T97" t="s">
        <v>30</v>
      </c>
      <c r="U97" s="4">
        <v>1.21088212958506</v>
      </c>
      <c r="V97" t="s">
        <v>40</v>
      </c>
      <c r="W97" t="s">
        <v>48</v>
      </c>
      <c r="X97" s="5">
        <v>778.86424137664699</v>
      </c>
      <c r="Y97">
        <f>Table13[[#This Row],[Shipping_LT]]+Table13[[#This Row],[Supplier_LT]]+Table13[[#This Row],[Mfg_LT]]</f>
        <v>58</v>
      </c>
    </row>
    <row r="98" spans="1:25" x14ac:dyDescent="0.25">
      <c r="A98" t="s">
        <v>199</v>
      </c>
      <c r="B98" t="s">
        <v>150</v>
      </c>
      <c r="C98" s="5">
        <v>24.423131420373299</v>
      </c>
      <c r="D98">
        <v>29</v>
      </c>
      <c r="E98">
        <v>324</v>
      </c>
      <c r="F98" s="5">
        <v>7698.4247656321104</v>
      </c>
      <c r="G98" t="s">
        <v>26</v>
      </c>
      <c r="H98">
        <v>67</v>
      </c>
      <c r="I98">
        <v>2</v>
      </c>
      <c r="J98">
        <v>32</v>
      </c>
      <c r="K98">
        <v>3</v>
      </c>
      <c r="L98" t="s">
        <v>43</v>
      </c>
      <c r="M98" s="5">
        <v>5.3528780439967996</v>
      </c>
      <c r="N98" t="s">
        <v>28</v>
      </c>
      <c r="O98" t="s">
        <v>29</v>
      </c>
      <c r="P98">
        <v>28</v>
      </c>
      <c r="Q98">
        <v>648</v>
      </c>
      <c r="R98">
        <v>28</v>
      </c>
      <c r="S98" s="5">
        <v>17.803756331391199</v>
      </c>
      <c r="T98" t="s">
        <v>30</v>
      </c>
      <c r="U98" s="4">
        <v>3.8720476814821301</v>
      </c>
      <c r="V98" t="s">
        <v>31</v>
      </c>
      <c r="W98" t="s">
        <v>48</v>
      </c>
      <c r="X98" s="5">
        <v>188.74214114905601</v>
      </c>
      <c r="Y98">
        <f>Table13[[#This Row],[Shipping_LT]]+Table13[[#This Row],[Supplier_LT]]+Table13[[#This Row],[Mfg_LT]]</f>
        <v>58</v>
      </c>
    </row>
    <row r="99" spans="1:25" x14ac:dyDescent="0.25">
      <c r="A99" t="s">
        <v>200</v>
      </c>
      <c r="B99" t="s">
        <v>151</v>
      </c>
      <c r="C99" s="5">
        <v>3.5261112591434101</v>
      </c>
      <c r="D99">
        <v>56</v>
      </c>
      <c r="E99">
        <v>62</v>
      </c>
      <c r="F99" s="5">
        <v>4370.9165799845296</v>
      </c>
      <c r="G99" t="s">
        <v>55</v>
      </c>
      <c r="H99">
        <v>46</v>
      </c>
      <c r="I99">
        <v>19</v>
      </c>
      <c r="J99">
        <v>4</v>
      </c>
      <c r="K99">
        <v>9</v>
      </c>
      <c r="L99" t="s">
        <v>36</v>
      </c>
      <c r="M99" s="5">
        <v>7.9048456112096703</v>
      </c>
      <c r="N99" t="s">
        <v>52</v>
      </c>
      <c r="O99" t="s">
        <v>29</v>
      </c>
      <c r="P99">
        <v>10</v>
      </c>
      <c r="Q99">
        <v>535</v>
      </c>
      <c r="R99">
        <v>13</v>
      </c>
      <c r="S99" s="5">
        <v>65.765155926367399</v>
      </c>
      <c r="T99" t="s">
        <v>46</v>
      </c>
      <c r="U99" s="4">
        <v>3.3762378347179798</v>
      </c>
      <c r="V99" t="s">
        <v>31</v>
      </c>
      <c r="W99" t="s">
        <v>48</v>
      </c>
      <c r="X99" s="5">
        <v>540.13242286796697</v>
      </c>
      <c r="Y99">
        <f>Table13[[#This Row],[Shipping_LT]]+Table13[[#This Row],[Supplier_LT]]+Table13[[#This Row],[Mfg_LT]]</f>
        <v>42</v>
      </c>
    </row>
    <row r="100" spans="1:25" x14ac:dyDescent="0.25">
      <c r="A100" t="s">
        <v>201</v>
      </c>
      <c r="B100" t="s">
        <v>152</v>
      </c>
      <c r="C100" s="5">
        <v>19.754604866878601</v>
      </c>
      <c r="D100">
        <v>43</v>
      </c>
      <c r="E100">
        <v>913</v>
      </c>
      <c r="F100" s="5">
        <v>8525.9525596835192</v>
      </c>
      <c r="G100" t="s">
        <v>35</v>
      </c>
      <c r="H100">
        <v>53</v>
      </c>
      <c r="I100">
        <v>1</v>
      </c>
      <c r="J100">
        <v>27</v>
      </c>
      <c r="K100">
        <v>7</v>
      </c>
      <c r="L100" t="s">
        <v>27</v>
      </c>
      <c r="M100" s="5">
        <v>1.4098010951380699</v>
      </c>
      <c r="N100" t="s">
        <v>44</v>
      </c>
      <c r="O100" t="s">
        <v>62</v>
      </c>
      <c r="P100">
        <v>28</v>
      </c>
      <c r="Q100">
        <v>581</v>
      </c>
      <c r="R100">
        <v>9</v>
      </c>
      <c r="S100" s="5">
        <v>5.6046908643717801</v>
      </c>
      <c r="T100" t="s">
        <v>30</v>
      </c>
      <c r="U100" s="4">
        <v>2.9081221693512598</v>
      </c>
      <c r="V100" t="s">
        <v>47</v>
      </c>
      <c r="W100" t="s">
        <v>48</v>
      </c>
      <c r="X100" s="5">
        <v>882.19886354704101</v>
      </c>
      <c r="Y100">
        <f>Table13[[#This Row],[Shipping_LT]]+Table13[[#This Row],[Supplier_LT]]+Table13[[#This Row],[Mfg_LT]]</f>
        <v>38</v>
      </c>
    </row>
    <row r="101" spans="1:25" x14ac:dyDescent="0.25">
      <c r="A101" t="s">
        <v>200</v>
      </c>
      <c r="B101" t="s">
        <v>153</v>
      </c>
      <c r="C101" s="5">
        <v>68.517832699276596</v>
      </c>
      <c r="D101">
        <v>17</v>
      </c>
      <c r="E101">
        <v>627</v>
      </c>
      <c r="F101" s="5">
        <v>9185.1858291817007</v>
      </c>
      <c r="G101" t="s">
        <v>38</v>
      </c>
      <c r="H101">
        <v>55</v>
      </c>
      <c r="I101">
        <v>8</v>
      </c>
      <c r="J101">
        <v>59</v>
      </c>
      <c r="K101">
        <v>6</v>
      </c>
      <c r="L101" t="s">
        <v>27</v>
      </c>
      <c r="M101" s="5">
        <v>1.3110237561206199</v>
      </c>
      <c r="N101" t="s">
        <v>61</v>
      </c>
      <c r="O101" t="s">
        <v>62</v>
      </c>
      <c r="P101">
        <v>29</v>
      </c>
      <c r="Q101">
        <v>921</v>
      </c>
      <c r="R101">
        <v>2</v>
      </c>
      <c r="S101" s="5">
        <v>38.072898520625998</v>
      </c>
      <c r="T101" t="s">
        <v>46</v>
      </c>
      <c r="U101" s="4">
        <v>0.34602729070550298</v>
      </c>
      <c r="V101" t="s">
        <v>47</v>
      </c>
      <c r="W101" t="s">
        <v>32</v>
      </c>
      <c r="X101" s="5">
        <v>210.743008964246</v>
      </c>
      <c r="Y101">
        <f>Table13[[#This Row],[Shipping_LT]]+Table13[[#This Row],[Supplier_LT]]+Table13[[#This Row],[Mfg_LT]]</f>
        <v>39</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1"/>
  <sheetViews>
    <sheetView topLeftCell="N1" workbookViewId="0">
      <selection sqref="A1:X101"/>
    </sheetView>
  </sheetViews>
  <sheetFormatPr defaultRowHeight="15" x14ac:dyDescent="0.25"/>
  <cols>
    <col min="1" max="1" width="14.42578125" customWidth="1"/>
    <col min="4" max="4" width="13.140625" customWidth="1"/>
    <col min="5" max="5" width="25" customWidth="1"/>
    <col min="6" max="6" width="20.5703125" customWidth="1"/>
    <col min="7" max="7" width="25.140625" bestFit="1" customWidth="1"/>
    <col min="8" max="8" width="13.5703125" customWidth="1"/>
    <col min="9" max="9" width="12.7109375" customWidth="1"/>
    <col min="10" max="10" width="17.7109375" customWidth="1"/>
    <col min="11" max="11" width="16.28515625" customWidth="1"/>
    <col min="12" max="12" width="17.85546875" customWidth="1"/>
    <col min="13" max="13" width="15.7109375" customWidth="1"/>
    <col min="14" max="14" width="16" customWidth="1"/>
    <col min="15" max="15" width="10.5703125" customWidth="1"/>
    <col min="16" max="16" width="11.85546875" customWidth="1"/>
    <col min="17" max="17" width="20.85546875" customWidth="1"/>
    <col min="18" max="18" width="25" customWidth="1"/>
    <col min="19" max="19" width="21" customWidth="1"/>
    <col min="20" max="20" width="18.85546875" customWidth="1"/>
    <col min="21" max="21" width="13.85546875" customWidth="1"/>
    <col min="22" max="22" width="22.5703125" customWidth="1"/>
    <col min="23" max="23" width="9.28515625"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200</v>
      </c>
      <c r="B2" t="s">
        <v>25</v>
      </c>
      <c r="C2" s="5">
        <v>69.808005542115694</v>
      </c>
      <c r="D2">
        <v>55</v>
      </c>
      <c r="E2">
        <v>802</v>
      </c>
      <c r="F2" s="5">
        <v>8661.9967923923796</v>
      </c>
      <c r="G2" t="s">
        <v>26</v>
      </c>
      <c r="H2">
        <v>58</v>
      </c>
      <c r="I2">
        <v>7</v>
      </c>
      <c r="J2">
        <v>96</v>
      </c>
      <c r="K2">
        <v>4</v>
      </c>
      <c r="L2" t="s">
        <v>27</v>
      </c>
      <c r="M2" s="5">
        <v>2.9565721394308002</v>
      </c>
      <c r="N2" t="s">
        <v>28</v>
      </c>
      <c r="O2" t="s">
        <v>29</v>
      </c>
      <c r="P2">
        <v>29</v>
      </c>
      <c r="Q2">
        <v>215</v>
      </c>
      <c r="R2">
        <v>29</v>
      </c>
      <c r="S2" s="5">
        <v>46.279879240508301</v>
      </c>
      <c r="T2" t="s">
        <v>30</v>
      </c>
      <c r="U2" s="4">
        <v>0.226410360849925</v>
      </c>
      <c r="V2" t="s">
        <v>31</v>
      </c>
      <c r="W2" t="s">
        <v>32</v>
      </c>
      <c r="X2" s="5">
        <v>187.75207545920301</v>
      </c>
    </row>
    <row r="3" spans="1:24" x14ac:dyDescent="0.25">
      <c r="A3" t="s">
        <v>201</v>
      </c>
      <c r="B3" t="s">
        <v>34</v>
      </c>
      <c r="C3" s="5">
        <v>14.8435232750843</v>
      </c>
      <c r="D3">
        <v>95</v>
      </c>
      <c r="E3">
        <v>736</v>
      </c>
      <c r="F3" s="5">
        <v>7460.9000654458396</v>
      </c>
      <c r="G3" t="s">
        <v>35</v>
      </c>
      <c r="H3">
        <v>53</v>
      </c>
      <c r="I3">
        <v>30</v>
      </c>
      <c r="J3">
        <v>37</v>
      </c>
      <c r="K3">
        <v>2</v>
      </c>
      <c r="L3" t="s">
        <v>36</v>
      </c>
      <c r="M3" s="5">
        <v>9.7165747714313095</v>
      </c>
      <c r="N3" t="s">
        <v>28</v>
      </c>
      <c r="O3" t="s">
        <v>29</v>
      </c>
      <c r="P3">
        <v>23</v>
      </c>
      <c r="Q3">
        <v>517</v>
      </c>
      <c r="R3">
        <v>30</v>
      </c>
      <c r="S3" s="5">
        <v>33.616768953730002</v>
      </c>
      <c r="T3" t="s">
        <v>30</v>
      </c>
      <c r="U3" s="4">
        <v>4.8540680263886999</v>
      </c>
      <c r="V3" t="s">
        <v>31</v>
      </c>
      <c r="W3" t="s">
        <v>32</v>
      </c>
      <c r="X3" s="5">
        <v>503.06557914966902</v>
      </c>
    </row>
    <row r="4" spans="1:24" x14ac:dyDescent="0.25">
      <c r="A4" t="s">
        <v>200</v>
      </c>
      <c r="B4" t="s">
        <v>37</v>
      </c>
      <c r="C4" s="5">
        <v>11.319683293090501</v>
      </c>
      <c r="D4">
        <v>34</v>
      </c>
      <c r="E4">
        <v>8</v>
      </c>
      <c r="F4" s="5">
        <v>9577.7496258687297</v>
      </c>
      <c r="G4" t="s">
        <v>38</v>
      </c>
      <c r="H4">
        <v>1</v>
      </c>
      <c r="I4">
        <v>10</v>
      </c>
      <c r="J4">
        <v>88</v>
      </c>
      <c r="K4">
        <v>2</v>
      </c>
      <c r="L4" t="s">
        <v>27</v>
      </c>
      <c r="M4" s="5">
        <v>8.0544792617321495</v>
      </c>
      <c r="N4" t="s">
        <v>39</v>
      </c>
      <c r="O4" t="s">
        <v>29</v>
      </c>
      <c r="P4">
        <v>12</v>
      </c>
      <c r="Q4">
        <v>971</v>
      </c>
      <c r="R4">
        <v>27</v>
      </c>
      <c r="S4" s="5">
        <v>30.6880193482842</v>
      </c>
      <c r="T4" t="s">
        <v>30</v>
      </c>
      <c r="U4" s="4">
        <v>4.5805926191992201</v>
      </c>
      <c r="V4" t="s">
        <v>40</v>
      </c>
      <c r="W4" t="s">
        <v>41</v>
      </c>
      <c r="X4" s="5">
        <v>141.920281771519</v>
      </c>
    </row>
    <row r="5" spans="1:24" x14ac:dyDescent="0.25">
      <c r="A5" t="s">
        <v>201</v>
      </c>
      <c r="B5" t="s">
        <v>42</v>
      </c>
      <c r="C5" s="5">
        <v>61.1633430164377</v>
      </c>
      <c r="D5">
        <v>68</v>
      </c>
      <c r="E5">
        <v>83</v>
      </c>
      <c r="F5" s="5">
        <v>7766.8364256852301</v>
      </c>
      <c r="G5" t="s">
        <v>26</v>
      </c>
      <c r="H5">
        <v>23</v>
      </c>
      <c r="I5">
        <v>13</v>
      </c>
      <c r="J5">
        <v>59</v>
      </c>
      <c r="K5">
        <v>6</v>
      </c>
      <c r="L5" t="s">
        <v>43</v>
      </c>
      <c r="M5" s="5">
        <v>1.7295685635434199</v>
      </c>
      <c r="N5" t="s">
        <v>44</v>
      </c>
      <c r="O5" t="s">
        <v>45</v>
      </c>
      <c r="P5">
        <v>24</v>
      </c>
      <c r="Q5">
        <v>937</v>
      </c>
      <c r="R5">
        <v>18</v>
      </c>
      <c r="S5" s="5">
        <v>35.624741397125</v>
      </c>
      <c r="T5" t="s">
        <v>46</v>
      </c>
      <c r="U5" s="4">
        <v>4.7466486206477496</v>
      </c>
      <c r="V5" t="s">
        <v>47</v>
      </c>
      <c r="W5" t="s">
        <v>48</v>
      </c>
      <c r="X5" s="5">
        <v>254.776159219286</v>
      </c>
    </row>
    <row r="6" spans="1:24" x14ac:dyDescent="0.25">
      <c r="A6" t="s">
        <v>201</v>
      </c>
      <c r="B6" t="s">
        <v>49</v>
      </c>
      <c r="C6" s="5">
        <v>4.8054960363458896</v>
      </c>
      <c r="D6">
        <v>26</v>
      </c>
      <c r="E6">
        <v>871</v>
      </c>
      <c r="F6" s="5">
        <v>2686.50515156744</v>
      </c>
      <c r="G6" t="s">
        <v>26</v>
      </c>
      <c r="H6">
        <v>5</v>
      </c>
      <c r="I6">
        <v>3</v>
      </c>
      <c r="J6">
        <v>56</v>
      </c>
      <c r="K6">
        <v>8</v>
      </c>
      <c r="L6" t="s">
        <v>36</v>
      </c>
      <c r="M6" s="5">
        <v>3.8905479158706702</v>
      </c>
      <c r="N6" t="s">
        <v>39</v>
      </c>
      <c r="O6" t="s">
        <v>50</v>
      </c>
      <c r="P6">
        <v>5</v>
      </c>
      <c r="Q6">
        <v>414</v>
      </c>
      <c r="R6">
        <v>3</v>
      </c>
      <c r="S6" s="5">
        <v>92.065160598712794</v>
      </c>
      <c r="T6" t="s">
        <v>46</v>
      </c>
      <c r="U6" s="4">
        <v>3.1455795228330001</v>
      </c>
      <c r="V6" t="s">
        <v>40</v>
      </c>
      <c r="W6" t="s">
        <v>48</v>
      </c>
      <c r="X6" s="5">
        <v>923.44063171192204</v>
      </c>
    </row>
    <row r="7" spans="1:24" x14ac:dyDescent="0.25">
      <c r="A7" t="s">
        <v>200</v>
      </c>
      <c r="B7" t="s">
        <v>51</v>
      </c>
      <c r="C7" s="5">
        <v>1.6999760138659299</v>
      </c>
      <c r="D7">
        <v>87</v>
      </c>
      <c r="E7">
        <v>147</v>
      </c>
      <c r="F7" s="5">
        <v>2828.3487459757498</v>
      </c>
      <c r="G7" t="s">
        <v>26</v>
      </c>
      <c r="H7">
        <v>90</v>
      </c>
      <c r="I7">
        <v>27</v>
      </c>
      <c r="J7">
        <v>66</v>
      </c>
      <c r="K7">
        <v>3</v>
      </c>
      <c r="L7" t="s">
        <v>27</v>
      </c>
      <c r="M7" s="5">
        <v>4.4440988643822896</v>
      </c>
      <c r="N7" t="s">
        <v>52</v>
      </c>
      <c r="O7" t="s">
        <v>53</v>
      </c>
      <c r="P7">
        <v>10</v>
      </c>
      <c r="Q7">
        <v>104</v>
      </c>
      <c r="R7">
        <v>17</v>
      </c>
      <c r="S7" s="5">
        <v>56.766475557431797</v>
      </c>
      <c r="T7" t="s">
        <v>46</v>
      </c>
      <c r="U7" s="4">
        <v>2.7791935115711599</v>
      </c>
      <c r="V7" t="s">
        <v>31</v>
      </c>
      <c r="W7" t="s">
        <v>48</v>
      </c>
      <c r="X7" s="5">
        <v>235.461236735537</v>
      </c>
    </row>
    <row r="8" spans="1:24" x14ac:dyDescent="0.25">
      <c r="A8" t="s">
        <v>201</v>
      </c>
      <c r="B8" t="s">
        <v>54</v>
      </c>
      <c r="C8" s="5">
        <v>4.0783328631079403</v>
      </c>
      <c r="D8">
        <v>48</v>
      </c>
      <c r="E8">
        <v>65</v>
      </c>
      <c r="F8" s="5">
        <v>7823.4765595317303</v>
      </c>
      <c r="G8" t="s">
        <v>55</v>
      </c>
      <c r="H8">
        <v>11</v>
      </c>
      <c r="I8">
        <v>15</v>
      </c>
      <c r="J8">
        <v>58</v>
      </c>
      <c r="K8">
        <v>8</v>
      </c>
      <c r="L8" t="s">
        <v>43</v>
      </c>
      <c r="M8" s="5">
        <v>3.8807633029519999</v>
      </c>
      <c r="N8" t="s">
        <v>28</v>
      </c>
      <c r="O8" t="s">
        <v>45</v>
      </c>
      <c r="P8">
        <v>14</v>
      </c>
      <c r="Q8">
        <v>314</v>
      </c>
      <c r="R8">
        <v>24</v>
      </c>
      <c r="S8" s="5">
        <v>1.0850685695870601</v>
      </c>
      <c r="T8" t="s">
        <v>30</v>
      </c>
      <c r="U8" s="4">
        <v>1.0009106193041299</v>
      </c>
      <c r="V8" t="s">
        <v>56</v>
      </c>
      <c r="W8" t="s">
        <v>48</v>
      </c>
      <c r="X8" s="5">
        <v>134.36909686103101</v>
      </c>
    </row>
    <row r="9" spans="1:24" x14ac:dyDescent="0.25">
      <c r="A9" t="s">
        <v>199</v>
      </c>
      <c r="B9" t="s">
        <v>58</v>
      </c>
      <c r="C9" s="5">
        <v>42.958384382459997</v>
      </c>
      <c r="D9">
        <v>59</v>
      </c>
      <c r="E9">
        <v>426</v>
      </c>
      <c r="F9" s="5">
        <v>8496.1038130898305</v>
      </c>
      <c r="G9" t="s">
        <v>35</v>
      </c>
      <c r="H9">
        <v>93</v>
      </c>
      <c r="I9">
        <v>17</v>
      </c>
      <c r="J9">
        <v>11</v>
      </c>
      <c r="K9">
        <v>1</v>
      </c>
      <c r="L9" t="s">
        <v>27</v>
      </c>
      <c r="M9" s="5">
        <v>2.3483387844177801</v>
      </c>
      <c r="N9" t="s">
        <v>52</v>
      </c>
      <c r="O9" t="s">
        <v>53</v>
      </c>
      <c r="P9">
        <v>22</v>
      </c>
      <c r="Q9">
        <v>564</v>
      </c>
      <c r="R9">
        <v>1</v>
      </c>
      <c r="S9" s="5">
        <v>99.466108603599096</v>
      </c>
      <c r="T9" t="s">
        <v>46</v>
      </c>
      <c r="U9" s="4">
        <v>0.39817718685065001</v>
      </c>
      <c r="V9" t="s">
        <v>31</v>
      </c>
      <c r="W9" t="s">
        <v>41</v>
      </c>
      <c r="X9" s="5">
        <v>802.05631181755803</v>
      </c>
    </row>
    <row r="10" spans="1:24" x14ac:dyDescent="0.25">
      <c r="A10" t="s">
        <v>199</v>
      </c>
      <c r="B10" t="s">
        <v>59</v>
      </c>
      <c r="C10" s="5">
        <v>68.717596748527299</v>
      </c>
      <c r="D10">
        <v>78</v>
      </c>
      <c r="E10">
        <v>150</v>
      </c>
      <c r="F10" s="5">
        <v>7517.3632106311197</v>
      </c>
      <c r="G10" t="s">
        <v>35</v>
      </c>
      <c r="H10">
        <v>5</v>
      </c>
      <c r="I10">
        <v>10</v>
      </c>
      <c r="J10">
        <v>15</v>
      </c>
      <c r="K10">
        <v>7</v>
      </c>
      <c r="L10" t="s">
        <v>43</v>
      </c>
      <c r="M10" s="5">
        <v>3.4047338570830199</v>
      </c>
      <c r="N10" t="s">
        <v>52</v>
      </c>
      <c r="O10" t="s">
        <v>29</v>
      </c>
      <c r="P10">
        <v>13</v>
      </c>
      <c r="Q10">
        <v>769</v>
      </c>
      <c r="R10">
        <v>8</v>
      </c>
      <c r="S10" s="5">
        <v>11.423027139565599</v>
      </c>
      <c r="T10" t="s">
        <v>30</v>
      </c>
      <c r="U10" s="4">
        <v>2.7098626911099601</v>
      </c>
      <c r="V10" t="s">
        <v>56</v>
      </c>
      <c r="W10" t="s">
        <v>32</v>
      </c>
      <c r="X10" s="5">
        <v>505.55713422546398</v>
      </c>
    </row>
    <row r="11" spans="1:24" x14ac:dyDescent="0.25">
      <c r="A11" t="s">
        <v>201</v>
      </c>
      <c r="B11" t="s">
        <v>60</v>
      </c>
      <c r="C11" s="5">
        <v>64.0157329412785</v>
      </c>
      <c r="D11">
        <v>35</v>
      </c>
      <c r="E11">
        <v>980</v>
      </c>
      <c r="F11" s="5">
        <v>4971.1459875855498</v>
      </c>
      <c r="G11" t="s">
        <v>38</v>
      </c>
      <c r="H11">
        <v>14</v>
      </c>
      <c r="I11">
        <v>27</v>
      </c>
      <c r="J11">
        <v>83</v>
      </c>
      <c r="K11">
        <v>1</v>
      </c>
      <c r="L11" t="s">
        <v>36</v>
      </c>
      <c r="M11" s="5">
        <v>7.1666452910482104</v>
      </c>
      <c r="N11" t="s">
        <v>61</v>
      </c>
      <c r="O11" t="s">
        <v>62</v>
      </c>
      <c r="P11">
        <v>29</v>
      </c>
      <c r="Q11">
        <v>963</v>
      </c>
      <c r="R11">
        <v>23</v>
      </c>
      <c r="S11" s="5">
        <v>47.957601634951502</v>
      </c>
      <c r="T11" t="s">
        <v>30</v>
      </c>
      <c r="U11" s="4">
        <v>3.8446144787675798</v>
      </c>
      <c r="V11" t="s">
        <v>47</v>
      </c>
      <c r="W11" t="s">
        <v>32</v>
      </c>
      <c r="X11" s="5">
        <v>995.92946149864099</v>
      </c>
    </row>
    <row r="12" spans="1:24" x14ac:dyDescent="0.25">
      <c r="A12" t="s">
        <v>201</v>
      </c>
      <c r="B12" t="s">
        <v>63</v>
      </c>
      <c r="C12" s="5">
        <v>15.707795681912099</v>
      </c>
      <c r="D12">
        <v>11</v>
      </c>
      <c r="E12">
        <v>996</v>
      </c>
      <c r="F12" s="5">
        <v>2330.9658020919401</v>
      </c>
      <c r="G12" t="s">
        <v>26</v>
      </c>
      <c r="H12">
        <v>51</v>
      </c>
      <c r="I12">
        <v>13</v>
      </c>
      <c r="J12">
        <v>80</v>
      </c>
      <c r="K12">
        <v>2</v>
      </c>
      <c r="L12" t="s">
        <v>43</v>
      </c>
      <c r="M12" s="5">
        <v>8.6732112112786108</v>
      </c>
      <c r="N12" t="s">
        <v>44</v>
      </c>
      <c r="O12" t="s">
        <v>45</v>
      </c>
      <c r="P12">
        <v>18</v>
      </c>
      <c r="Q12">
        <v>830</v>
      </c>
      <c r="R12">
        <v>5</v>
      </c>
      <c r="S12" s="5">
        <v>96.527352785310896</v>
      </c>
      <c r="T12" t="s">
        <v>64</v>
      </c>
      <c r="U12" s="4">
        <v>1.72731392835594</v>
      </c>
      <c r="V12" t="s">
        <v>31</v>
      </c>
      <c r="W12" t="s">
        <v>32</v>
      </c>
      <c r="X12" s="5">
        <v>806.10317770292295</v>
      </c>
    </row>
    <row r="13" spans="1:24" x14ac:dyDescent="0.25">
      <c r="A13" t="s">
        <v>201</v>
      </c>
      <c r="B13" t="s">
        <v>65</v>
      </c>
      <c r="C13" s="5">
        <v>90.635459982288594</v>
      </c>
      <c r="D13">
        <v>95</v>
      </c>
      <c r="E13">
        <v>960</v>
      </c>
      <c r="F13" s="5">
        <v>6099.9441155814502</v>
      </c>
      <c r="G13" t="s">
        <v>35</v>
      </c>
      <c r="H13">
        <v>46</v>
      </c>
      <c r="I13">
        <v>23</v>
      </c>
      <c r="J13">
        <v>60</v>
      </c>
      <c r="K13">
        <v>1</v>
      </c>
      <c r="L13" t="s">
        <v>36</v>
      </c>
      <c r="M13" s="5">
        <v>4.5239431243166601</v>
      </c>
      <c r="N13" t="s">
        <v>61</v>
      </c>
      <c r="O13" t="s">
        <v>45</v>
      </c>
      <c r="P13">
        <v>28</v>
      </c>
      <c r="Q13">
        <v>362</v>
      </c>
      <c r="R13">
        <v>11</v>
      </c>
      <c r="S13" s="5">
        <v>27.5923630866636</v>
      </c>
      <c r="T13" t="s">
        <v>30</v>
      </c>
      <c r="U13" s="4">
        <v>2.1169821372994301E-2</v>
      </c>
      <c r="V13" t="s">
        <v>40</v>
      </c>
      <c r="W13" t="s">
        <v>48</v>
      </c>
      <c r="X13" s="5">
        <v>126.72303340940699</v>
      </c>
    </row>
    <row r="14" spans="1:24" x14ac:dyDescent="0.25">
      <c r="A14" t="s">
        <v>200</v>
      </c>
      <c r="B14" t="s">
        <v>66</v>
      </c>
      <c r="C14" s="5">
        <v>71.213389075359999</v>
      </c>
      <c r="D14">
        <v>41</v>
      </c>
      <c r="E14">
        <v>336</v>
      </c>
      <c r="F14" s="5">
        <v>2873.74144602144</v>
      </c>
      <c r="G14" t="s">
        <v>38</v>
      </c>
      <c r="H14">
        <v>100</v>
      </c>
      <c r="I14">
        <v>30</v>
      </c>
      <c r="J14">
        <v>85</v>
      </c>
      <c r="K14">
        <v>4</v>
      </c>
      <c r="L14" t="s">
        <v>36</v>
      </c>
      <c r="M14" s="5">
        <v>1.32527401018452</v>
      </c>
      <c r="N14" t="s">
        <v>52</v>
      </c>
      <c r="O14" t="s">
        <v>45</v>
      </c>
      <c r="P14">
        <v>3</v>
      </c>
      <c r="Q14">
        <v>563</v>
      </c>
      <c r="R14">
        <v>3</v>
      </c>
      <c r="S14" s="5">
        <v>32.321286213424003</v>
      </c>
      <c r="T14" t="s">
        <v>46</v>
      </c>
      <c r="U14" s="4">
        <v>2.1612537475559099</v>
      </c>
      <c r="V14" t="s">
        <v>31</v>
      </c>
      <c r="W14" t="s">
        <v>32</v>
      </c>
      <c r="X14" s="5">
        <v>402.96878907376998</v>
      </c>
    </row>
    <row r="15" spans="1:24" x14ac:dyDescent="0.25">
      <c r="A15" t="s">
        <v>201</v>
      </c>
      <c r="B15" t="s">
        <v>67</v>
      </c>
      <c r="C15" s="5">
        <v>16.160393317379899</v>
      </c>
      <c r="D15">
        <v>5</v>
      </c>
      <c r="E15">
        <v>249</v>
      </c>
      <c r="F15" s="5">
        <v>4052.7384162378598</v>
      </c>
      <c r="G15" t="s">
        <v>55</v>
      </c>
      <c r="H15">
        <v>80</v>
      </c>
      <c r="I15">
        <v>8</v>
      </c>
      <c r="J15">
        <v>48</v>
      </c>
      <c r="K15">
        <v>9</v>
      </c>
      <c r="L15" t="s">
        <v>36</v>
      </c>
      <c r="M15" s="5">
        <v>9.5372830611083295</v>
      </c>
      <c r="N15" t="s">
        <v>44</v>
      </c>
      <c r="O15" t="s">
        <v>53</v>
      </c>
      <c r="P15">
        <v>23</v>
      </c>
      <c r="Q15">
        <v>173</v>
      </c>
      <c r="R15">
        <v>10</v>
      </c>
      <c r="S15" s="5">
        <v>97.829050110173199</v>
      </c>
      <c r="T15" t="s">
        <v>30</v>
      </c>
      <c r="U15" s="4">
        <v>1.63107423007153</v>
      </c>
      <c r="V15" t="s">
        <v>31</v>
      </c>
      <c r="W15" t="s">
        <v>32</v>
      </c>
      <c r="X15" s="5">
        <v>547.24100516096803</v>
      </c>
    </row>
    <row r="16" spans="1:24" x14ac:dyDescent="0.25">
      <c r="A16" t="s">
        <v>201</v>
      </c>
      <c r="B16" t="s">
        <v>68</v>
      </c>
      <c r="C16" s="5">
        <v>99.171328638624104</v>
      </c>
      <c r="D16">
        <v>26</v>
      </c>
      <c r="E16">
        <v>562</v>
      </c>
      <c r="F16" s="5">
        <v>8653.5709264697998</v>
      </c>
      <c r="G16" t="s">
        <v>26</v>
      </c>
      <c r="H16">
        <v>54</v>
      </c>
      <c r="I16">
        <v>29</v>
      </c>
      <c r="J16">
        <v>78</v>
      </c>
      <c r="K16">
        <v>5</v>
      </c>
      <c r="L16" t="s">
        <v>27</v>
      </c>
      <c r="M16" s="5">
        <v>2.0397701894493299</v>
      </c>
      <c r="N16" t="s">
        <v>39</v>
      </c>
      <c r="O16" t="s">
        <v>45</v>
      </c>
      <c r="P16">
        <v>25</v>
      </c>
      <c r="Q16">
        <v>558</v>
      </c>
      <c r="R16">
        <v>14</v>
      </c>
      <c r="S16" s="5">
        <v>5.7914366298629796</v>
      </c>
      <c r="T16" t="s">
        <v>30</v>
      </c>
      <c r="U16" s="4">
        <v>0.100682851565093</v>
      </c>
      <c r="V16" t="s">
        <v>40</v>
      </c>
      <c r="W16" t="s">
        <v>32</v>
      </c>
      <c r="X16" s="5">
        <v>929.23528996088896</v>
      </c>
    </row>
    <row r="17" spans="1:24" x14ac:dyDescent="0.25">
      <c r="A17" t="s">
        <v>201</v>
      </c>
      <c r="B17" t="s">
        <v>69</v>
      </c>
      <c r="C17" s="5">
        <v>36.989244928626903</v>
      </c>
      <c r="D17">
        <v>94</v>
      </c>
      <c r="E17">
        <v>469</v>
      </c>
      <c r="F17" s="5">
        <v>5442.0867853976697</v>
      </c>
      <c r="G17" t="s">
        <v>26</v>
      </c>
      <c r="H17">
        <v>9</v>
      </c>
      <c r="I17">
        <v>8</v>
      </c>
      <c r="J17">
        <v>69</v>
      </c>
      <c r="K17">
        <v>7</v>
      </c>
      <c r="L17" t="s">
        <v>27</v>
      </c>
      <c r="M17" s="5">
        <v>2.4220397232752</v>
      </c>
      <c r="N17" t="s">
        <v>39</v>
      </c>
      <c r="O17" t="s">
        <v>53</v>
      </c>
      <c r="P17">
        <v>14</v>
      </c>
      <c r="Q17">
        <v>580</v>
      </c>
      <c r="R17">
        <v>7</v>
      </c>
      <c r="S17" s="5">
        <v>97.121281751474299</v>
      </c>
      <c r="T17" t="s">
        <v>64</v>
      </c>
      <c r="U17" s="4">
        <v>2.2644057611985402</v>
      </c>
      <c r="V17" t="s">
        <v>56</v>
      </c>
      <c r="W17" t="s">
        <v>32</v>
      </c>
      <c r="X17" s="5">
        <v>127.861800001625</v>
      </c>
    </row>
    <row r="18" spans="1:24" x14ac:dyDescent="0.25">
      <c r="A18" t="s">
        <v>201</v>
      </c>
      <c r="B18" t="s">
        <v>70</v>
      </c>
      <c r="C18" s="5">
        <v>7.5471721097912701</v>
      </c>
      <c r="D18">
        <v>74</v>
      </c>
      <c r="E18">
        <v>280</v>
      </c>
      <c r="F18" s="5">
        <v>6453.7979681762799</v>
      </c>
      <c r="G18" t="s">
        <v>35</v>
      </c>
      <c r="H18">
        <v>2</v>
      </c>
      <c r="I18">
        <v>5</v>
      </c>
      <c r="J18">
        <v>78</v>
      </c>
      <c r="K18">
        <v>1</v>
      </c>
      <c r="L18" t="s">
        <v>27</v>
      </c>
      <c r="M18" s="5">
        <v>4.1913245857054999</v>
      </c>
      <c r="N18" t="s">
        <v>39</v>
      </c>
      <c r="O18" t="s">
        <v>53</v>
      </c>
      <c r="P18">
        <v>3</v>
      </c>
      <c r="Q18">
        <v>399</v>
      </c>
      <c r="R18">
        <v>21</v>
      </c>
      <c r="S18" s="5">
        <v>77.106342497849994</v>
      </c>
      <c r="T18" t="s">
        <v>64</v>
      </c>
      <c r="U18" s="4">
        <v>1.01256308925804</v>
      </c>
      <c r="V18" t="s">
        <v>40</v>
      </c>
      <c r="W18" t="s">
        <v>48</v>
      </c>
      <c r="X18" s="5">
        <v>865.52577977123997</v>
      </c>
    </row>
    <row r="19" spans="1:24" x14ac:dyDescent="0.25">
      <c r="A19" t="s">
        <v>199</v>
      </c>
      <c r="B19" t="s">
        <v>71</v>
      </c>
      <c r="C19" s="5">
        <v>81.462534369237005</v>
      </c>
      <c r="D19">
        <v>82</v>
      </c>
      <c r="E19">
        <v>126</v>
      </c>
      <c r="F19" s="5">
        <v>2629.39643484526</v>
      </c>
      <c r="G19" t="s">
        <v>35</v>
      </c>
      <c r="H19">
        <v>45</v>
      </c>
      <c r="I19">
        <v>17</v>
      </c>
      <c r="J19">
        <v>85</v>
      </c>
      <c r="K19">
        <v>9</v>
      </c>
      <c r="L19" t="s">
        <v>43</v>
      </c>
      <c r="M19" s="5">
        <v>3.5854189582323399</v>
      </c>
      <c r="N19" t="s">
        <v>39</v>
      </c>
      <c r="O19" t="s">
        <v>62</v>
      </c>
      <c r="P19">
        <v>7</v>
      </c>
      <c r="Q19">
        <v>453</v>
      </c>
      <c r="R19">
        <v>16</v>
      </c>
      <c r="S19" s="5">
        <v>47.679680368355299</v>
      </c>
      <c r="T19" t="s">
        <v>46</v>
      </c>
      <c r="U19" s="4">
        <v>0.102020754918176</v>
      </c>
      <c r="V19" t="s">
        <v>40</v>
      </c>
      <c r="W19" t="s">
        <v>41</v>
      </c>
      <c r="X19" s="5">
        <v>670.93439079241</v>
      </c>
    </row>
    <row r="20" spans="1:24" x14ac:dyDescent="0.25">
      <c r="A20" t="s">
        <v>200</v>
      </c>
      <c r="B20" t="s">
        <v>72</v>
      </c>
      <c r="C20" s="5">
        <v>36.4436277704609</v>
      </c>
      <c r="D20">
        <v>23</v>
      </c>
      <c r="E20">
        <v>620</v>
      </c>
      <c r="F20" s="5">
        <v>9364.6735050761708</v>
      </c>
      <c r="G20" t="s">
        <v>38</v>
      </c>
      <c r="H20">
        <v>10</v>
      </c>
      <c r="I20">
        <v>10</v>
      </c>
      <c r="J20">
        <v>46</v>
      </c>
      <c r="K20">
        <v>8</v>
      </c>
      <c r="L20" t="s">
        <v>43</v>
      </c>
      <c r="M20" s="5">
        <v>4.3392247141107001</v>
      </c>
      <c r="N20" t="s">
        <v>61</v>
      </c>
      <c r="O20" t="s">
        <v>45</v>
      </c>
      <c r="P20">
        <v>18</v>
      </c>
      <c r="Q20">
        <v>374</v>
      </c>
      <c r="R20">
        <v>17</v>
      </c>
      <c r="S20" s="5">
        <v>27.107980854843898</v>
      </c>
      <c r="T20" t="s">
        <v>30</v>
      </c>
      <c r="U20" s="4">
        <v>2.2319391107292601</v>
      </c>
      <c r="V20" t="s">
        <v>56</v>
      </c>
      <c r="W20" t="s">
        <v>48</v>
      </c>
      <c r="X20" s="5">
        <v>593.48025872065102</v>
      </c>
    </row>
    <row r="21" spans="1:24" x14ac:dyDescent="0.25">
      <c r="A21" t="s">
        <v>201</v>
      </c>
      <c r="B21" t="s">
        <v>73</v>
      </c>
      <c r="C21" s="5">
        <v>51.123870087964697</v>
      </c>
      <c r="D21">
        <v>100</v>
      </c>
      <c r="E21">
        <v>187</v>
      </c>
      <c r="F21" s="5">
        <v>2553.4955849912099</v>
      </c>
      <c r="G21" t="s">
        <v>38</v>
      </c>
      <c r="H21">
        <v>48</v>
      </c>
      <c r="I21">
        <v>11</v>
      </c>
      <c r="J21">
        <v>94</v>
      </c>
      <c r="K21">
        <v>3</v>
      </c>
      <c r="L21" t="s">
        <v>36</v>
      </c>
      <c r="M21" s="5">
        <v>4.7426358828418698</v>
      </c>
      <c r="N21" t="s">
        <v>52</v>
      </c>
      <c r="O21" t="s">
        <v>62</v>
      </c>
      <c r="P21">
        <v>20</v>
      </c>
      <c r="Q21">
        <v>694</v>
      </c>
      <c r="R21">
        <v>16</v>
      </c>
      <c r="S21" s="5">
        <v>82.373320587990193</v>
      </c>
      <c r="T21" t="s">
        <v>46</v>
      </c>
      <c r="U21" s="4">
        <v>3.64645086541702</v>
      </c>
      <c r="V21" t="s">
        <v>31</v>
      </c>
      <c r="W21" t="s">
        <v>41</v>
      </c>
      <c r="X21" s="5">
        <v>477.30763109090299</v>
      </c>
    </row>
    <row r="22" spans="1:24" x14ac:dyDescent="0.25">
      <c r="A22" t="s">
        <v>201</v>
      </c>
      <c r="B22" t="s">
        <v>74</v>
      </c>
      <c r="C22" s="5">
        <v>96.341072439963298</v>
      </c>
      <c r="D22">
        <v>22</v>
      </c>
      <c r="E22">
        <v>320</v>
      </c>
      <c r="F22" s="5">
        <v>8128.0276968511898</v>
      </c>
      <c r="G22" t="s">
        <v>38</v>
      </c>
      <c r="H22">
        <v>27</v>
      </c>
      <c r="I22">
        <v>12</v>
      </c>
      <c r="J22">
        <v>68</v>
      </c>
      <c r="K22">
        <v>6</v>
      </c>
      <c r="L22" t="s">
        <v>36</v>
      </c>
      <c r="M22" s="5">
        <v>8.8783346509268402</v>
      </c>
      <c r="N22" t="s">
        <v>39</v>
      </c>
      <c r="O22" t="s">
        <v>62</v>
      </c>
      <c r="P22">
        <v>29</v>
      </c>
      <c r="Q22">
        <v>309</v>
      </c>
      <c r="R22">
        <v>6</v>
      </c>
      <c r="S22" s="5">
        <v>65.686259608488598</v>
      </c>
      <c r="T22" t="s">
        <v>64</v>
      </c>
      <c r="U22" s="4">
        <v>4.2314165735345304</v>
      </c>
      <c r="V22" t="s">
        <v>40</v>
      </c>
      <c r="W22" t="s">
        <v>32</v>
      </c>
      <c r="X22" s="5">
        <v>493.871215316205</v>
      </c>
    </row>
    <row r="23" spans="1:24" x14ac:dyDescent="0.25">
      <c r="A23" t="s">
        <v>199</v>
      </c>
      <c r="B23" t="s">
        <v>75</v>
      </c>
      <c r="C23" s="5">
        <v>84.893868984950799</v>
      </c>
      <c r="D23">
        <v>60</v>
      </c>
      <c r="E23">
        <v>601</v>
      </c>
      <c r="F23" s="5">
        <v>7087.0526963574302</v>
      </c>
      <c r="G23" t="s">
        <v>38</v>
      </c>
      <c r="H23">
        <v>69</v>
      </c>
      <c r="I23">
        <v>25</v>
      </c>
      <c r="J23">
        <v>7</v>
      </c>
      <c r="K23">
        <v>6</v>
      </c>
      <c r="L23" t="s">
        <v>27</v>
      </c>
      <c r="M23" s="5">
        <v>6.0378837692182898</v>
      </c>
      <c r="N23" t="s">
        <v>44</v>
      </c>
      <c r="O23" t="s">
        <v>62</v>
      </c>
      <c r="P23">
        <v>19</v>
      </c>
      <c r="Q23">
        <v>791</v>
      </c>
      <c r="R23">
        <v>4</v>
      </c>
      <c r="S23" s="5">
        <v>61.735728954160898</v>
      </c>
      <c r="T23" t="s">
        <v>30</v>
      </c>
      <c r="U23" s="4">
        <v>1.8607567631014899E-2</v>
      </c>
      <c r="V23" t="s">
        <v>40</v>
      </c>
      <c r="W23" t="s">
        <v>41</v>
      </c>
      <c r="X23" s="5">
        <v>523.36091472015801</v>
      </c>
    </row>
    <row r="24" spans="1:24" x14ac:dyDescent="0.25">
      <c r="A24" t="s">
        <v>200</v>
      </c>
      <c r="B24" t="s">
        <v>76</v>
      </c>
      <c r="C24" s="5">
        <v>27.679780886501899</v>
      </c>
      <c r="D24">
        <v>55</v>
      </c>
      <c r="E24">
        <v>884</v>
      </c>
      <c r="F24" s="5">
        <v>2390.8078665561702</v>
      </c>
      <c r="G24" t="s">
        <v>38</v>
      </c>
      <c r="H24">
        <v>71</v>
      </c>
      <c r="I24">
        <v>1</v>
      </c>
      <c r="J24">
        <v>63</v>
      </c>
      <c r="K24">
        <v>10</v>
      </c>
      <c r="L24" t="s">
        <v>36</v>
      </c>
      <c r="M24" s="5">
        <v>9.5676489209230393</v>
      </c>
      <c r="N24" t="s">
        <v>52</v>
      </c>
      <c r="O24" t="s">
        <v>45</v>
      </c>
      <c r="P24">
        <v>22</v>
      </c>
      <c r="Q24">
        <v>780</v>
      </c>
      <c r="R24">
        <v>28</v>
      </c>
      <c r="S24" s="5">
        <v>50.120839612977299</v>
      </c>
      <c r="T24" t="s">
        <v>46</v>
      </c>
      <c r="U24" s="4">
        <v>2.5912754732111098</v>
      </c>
      <c r="V24" t="s">
        <v>47</v>
      </c>
      <c r="W24" t="s">
        <v>41</v>
      </c>
      <c r="X24" s="5">
        <v>205.57199582694699</v>
      </c>
    </row>
    <row r="25" spans="1:24" x14ac:dyDescent="0.25">
      <c r="A25" t="s">
        <v>199</v>
      </c>
      <c r="B25" t="s">
        <v>77</v>
      </c>
      <c r="C25" s="5">
        <v>4.3243411858641601</v>
      </c>
      <c r="D25">
        <v>30</v>
      </c>
      <c r="E25">
        <v>391</v>
      </c>
      <c r="F25" s="5">
        <v>8858.3675710114803</v>
      </c>
      <c r="G25" t="s">
        <v>38</v>
      </c>
      <c r="H25">
        <v>84</v>
      </c>
      <c r="I25">
        <v>5</v>
      </c>
      <c r="J25">
        <v>29</v>
      </c>
      <c r="K25">
        <v>7</v>
      </c>
      <c r="L25" t="s">
        <v>36</v>
      </c>
      <c r="M25" s="5">
        <v>2.92485760114555</v>
      </c>
      <c r="N25" t="s">
        <v>44</v>
      </c>
      <c r="O25" t="s">
        <v>45</v>
      </c>
      <c r="P25">
        <v>11</v>
      </c>
      <c r="Q25">
        <v>568</v>
      </c>
      <c r="R25">
        <v>29</v>
      </c>
      <c r="S25" s="5">
        <v>98.6099572427038</v>
      </c>
      <c r="T25" t="s">
        <v>30</v>
      </c>
      <c r="U25" s="4">
        <v>1.3422915627227301</v>
      </c>
      <c r="V25" t="s">
        <v>47</v>
      </c>
      <c r="W25" t="s">
        <v>48</v>
      </c>
      <c r="X25" s="5">
        <v>196.329446112412</v>
      </c>
    </row>
    <row r="26" spans="1:24" x14ac:dyDescent="0.25">
      <c r="A26" t="s">
        <v>200</v>
      </c>
      <c r="B26" t="s">
        <v>78</v>
      </c>
      <c r="C26" s="5">
        <v>4.1563083593111001</v>
      </c>
      <c r="D26">
        <v>32</v>
      </c>
      <c r="E26">
        <v>209</v>
      </c>
      <c r="F26" s="5">
        <v>9049.0778609398894</v>
      </c>
      <c r="G26" t="s">
        <v>55</v>
      </c>
      <c r="H26">
        <v>4</v>
      </c>
      <c r="I26">
        <v>26</v>
      </c>
      <c r="J26">
        <v>2</v>
      </c>
      <c r="K26">
        <v>8</v>
      </c>
      <c r="L26" t="s">
        <v>43</v>
      </c>
      <c r="M26" s="5">
        <v>9.7412916892843597</v>
      </c>
      <c r="N26" t="s">
        <v>61</v>
      </c>
      <c r="O26" t="s">
        <v>53</v>
      </c>
      <c r="P26">
        <v>28</v>
      </c>
      <c r="Q26">
        <v>447</v>
      </c>
      <c r="R26">
        <v>3</v>
      </c>
      <c r="S26" s="5">
        <v>40.382359702924802</v>
      </c>
      <c r="T26" t="s">
        <v>30</v>
      </c>
      <c r="U26" s="4">
        <v>3.69131029262872</v>
      </c>
      <c r="V26" t="s">
        <v>40</v>
      </c>
      <c r="W26" t="s">
        <v>48</v>
      </c>
      <c r="X26" s="5">
        <v>758.72477260293795</v>
      </c>
    </row>
    <row r="27" spans="1:24" x14ac:dyDescent="0.25">
      <c r="A27" t="s">
        <v>200</v>
      </c>
      <c r="B27" t="s">
        <v>79</v>
      </c>
      <c r="C27" s="5">
        <v>39.629343985092603</v>
      </c>
      <c r="D27">
        <v>73</v>
      </c>
      <c r="E27">
        <v>142</v>
      </c>
      <c r="F27" s="5">
        <v>2174.7770543506499</v>
      </c>
      <c r="G27" t="s">
        <v>55</v>
      </c>
      <c r="H27">
        <v>82</v>
      </c>
      <c r="I27">
        <v>11</v>
      </c>
      <c r="J27">
        <v>52</v>
      </c>
      <c r="K27">
        <v>3</v>
      </c>
      <c r="L27" t="s">
        <v>43</v>
      </c>
      <c r="M27" s="5">
        <v>2.2310736812817198</v>
      </c>
      <c r="N27" t="s">
        <v>52</v>
      </c>
      <c r="O27" t="s">
        <v>45</v>
      </c>
      <c r="P27">
        <v>19</v>
      </c>
      <c r="Q27">
        <v>934</v>
      </c>
      <c r="R27">
        <v>23</v>
      </c>
      <c r="S27" s="5">
        <v>78.280383118415301</v>
      </c>
      <c r="T27" t="s">
        <v>30</v>
      </c>
      <c r="U27" s="4">
        <v>3.79723121711418</v>
      </c>
      <c r="V27" t="s">
        <v>31</v>
      </c>
      <c r="W27" t="s">
        <v>32</v>
      </c>
      <c r="X27" s="5">
        <v>458.53594573920901</v>
      </c>
    </row>
    <row r="28" spans="1:24" x14ac:dyDescent="0.25">
      <c r="A28" t="s">
        <v>200</v>
      </c>
      <c r="B28" t="s">
        <v>80</v>
      </c>
      <c r="C28" s="5">
        <v>97.446946617892806</v>
      </c>
      <c r="D28">
        <v>9</v>
      </c>
      <c r="E28">
        <v>353</v>
      </c>
      <c r="F28" s="5">
        <v>3716.49332589403</v>
      </c>
      <c r="G28" t="s">
        <v>55</v>
      </c>
      <c r="H28">
        <v>59</v>
      </c>
      <c r="I28">
        <v>16</v>
      </c>
      <c r="J28">
        <v>48</v>
      </c>
      <c r="K28">
        <v>4</v>
      </c>
      <c r="L28" t="s">
        <v>27</v>
      </c>
      <c r="M28" s="5">
        <v>6.5075486210785503</v>
      </c>
      <c r="N28" t="s">
        <v>61</v>
      </c>
      <c r="O28" t="s">
        <v>53</v>
      </c>
      <c r="P28">
        <v>26</v>
      </c>
      <c r="Q28">
        <v>171</v>
      </c>
      <c r="R28">
        <v>4</v>
      </c>
      <c r="S28" s="5">
        <v>15.972229757181699</v>
      </c>
      <c r="T28" t="s">
        <v>64</v>
      </c>
      <c r="U28" s="4">
        <v>2.1193197367249201</v>
      </c>
      <c r="V28" t="s">
        <v>47</v>
      </c>
      <c r="W28" t="s">
        <v>48</v>
      </c>
      <c r="X28" s="5">
        <v>617.86691645837698</v>
      </c>
    </row>
    <row r="29" spans="1:24" x14ac:dyDescent="0.25">
      <c r="A29" t="s">
        <v>199</v>
      </c>
      <c r="B29" t="s">
        <v>81</v>
      </c>
      <c r="C29" s="5">
        <v>92.557360812401996</v>
      </c>
      <c r="D29">
        <v>42</v>
      </c>
      <c r="E29">
        <v>352</v>
      </c>
      <c r="F29" s="5">
        <v>2686.4572235759802</v>
      </c>
      <c r="G29" t="s">
        <v>38</v>
      </c>
      <c r="H29">
        <v>47</v>
      </c>
      <c r="I29">
        <v>9</v>
      </c>
      <c r="J29">
        <v>62</v>
      </c>
      <c r="K29">
        <v>8</v>
      </c>
      <c r="L29" t="s">
        <v>43</v>
      </c>
      <c r="M29" s="5">
        <v>7.4067509529980704</v>
      </c>
      <c r="N29" t="s">
        <v>44</v>
      </c>
      <c r="O29" t="s">
        <v>29</v>
      </c>
      <c r="P29">
        <v>25</v>
      </c>
      <c r="Q29">
        <v>291</v>
      </c>
      <c r="R29">
        <v>4</v>
      </c>
      <c r="S29" s="5">
        <v>10.5282450700421</v>
      </c>
      <c r="T29" t="s">
        <v>46</v>
      </c>
      <c r="U29" s="4">
        <v>2.8646678378833701</v>
      </c>
      <c r="V29" t="s">
        <v>56</v>
      </c>
      <c r="W29" t="s">
        <v>32</v>
      </c>
      <c r="X29" s="5">
        <v>762.45918215568304</v>
      </c>
    </row>
    <row r="30" spans="1:24" x14ac:dyDescent="0.25">
      <c r="A30" t="s">
        <v>199</v>
      </c>
      <c r="B30" t="s">
        <v>82</v>
      </c>
      <c r="C30" s="5">
        <v>2.3972747055971402</v>
      </c>
      <c r="D30">
        <v>12</v>
      </c>
      <c r="E30">
        <v>394</v>
      </c>
      <c r="F30" s="5">
        <v>6117.3246150839896</v>
      </c>
      <c r="G30" t="s">
        <v>35</v>
      </c>
      <c r="H30">
        <v>48</v>
      </c>
      <c r="I30">
        <v>15</v>
      </c>
      <c r="J30">
        <v>24</v>
      </c>
      <c r="K30">
        <v>4</v>
      </c>
      <c r="L30" t="s">
        <v>27</v>
      </c>
      <c r="M30" s="5">
        <v>9.8981405080692202</v>
      </c>
      <c r="N30" t="s">
        <v>39</v>
      </c>
      <c r="O30" t="s">
        <v>29</v>
      </c>
      <c r="P30">
        <v>13</v>
      </c>
      <c r="Q30">
        <v>171</v>
      </c>
      <c r="R30">
        <v>7</v>
      </c>
      <c r="S30" s="5">
        <v>59.429381810691503</v>
      </c>
      <c r="T30" t="s">
        <v>46</v>
      </c>
      <c r="U30" s="4">
        <v>0.81575707929567198</v>
      </c>
      <c r="V30" t="s">
        <v>40</v>
      </c>
      <c r="W30" t="s">
        <v>48</v>
      </c>
      <c r="X30" s="5">
        <v>123.437027511827</v>
      </c>
    </row>
    <row r="31" spans="1:24" x14ac:dyDescent="0.25">
      <c r="A31" t="s">
        <v>199</v>
      </c>
      <c r="B31" t="s">
        <v>83</v>
      </c>
      <c r="C31" s="5">
        <v>63.447559185207297</v>
      </c>
      <c r="D31">
        <v>3</v>
      </c>
      <c r="E31">
        <v>253</v>
      </c>
      <c r="F31" s="5">
        <v>8318.9031946171708</v>
      </c>
      <c r="G31" t="s">
        <v>35</v>
      </c>
      <c r="H31">
        <v>45</v>
      </c>
      <c r="I31">
        <v>5</v>
      </c>
      <c r="J31">
        <v>67</v>
      </c>
      <c r="K31">
        <v>7</v>
      </c>
      <c r="L31" t="s">
        <v>27</v>
      </c>
      <c r="M31" s="5">
        <v>8.1009731453970293</v>
      </c>
      <c r="N31" t="s">
        <v>39</v>
      </c>
      <c r="O31" t="s">
        <v>45</v>
      </c>
      <c r="P31">
        <v>16</v>
      </c>
      <c r="Q31">
        <v>329</v>
      </c>
      <c r="R31">
        <v>7</v>
      </c>
      <c r="S31" s="5">
        <v>39.292875586065698</v>
      </c>
      <c r="T31" t="s">
        <v>64</v>
      </c>
      <c r="U31" s="4">
        <v>3.8780989365884802</v>
      </c>
      <c r="V31" t="s">
        <v>31</v>
      </c>
      <c r="W31" t="s">
        <v>32</v>
      </c>
      <c r="X31" s="5">
        <v>764.93537594070801</v>
      </c>
    </row>
    <row r="32" spans="1:24" x14ac:dyDescent="0.25">
      <c r="A32" t="s">
        <v>200</v>
      </c>
      <c r="B32" t="s">
        <v>84</v>
      </c>
      <c r="C32" s="5">
        <v>8.0228592105263896</v>
      </c>
      <c r="D32">
        <v>10</v>
      </c>
      <c r="E32">
        <v>327</v>
      </c>
      <c r="F32" s="5">
        <v>2766.3423668660798</v>
      </c>
      <c r="G32" t="s">
        <v>55</v>
      </c>
      <c r="H32">
        <v>60</v>
      </c>
      <c r="I32">
        <v>26</v>
      </c>
      <c r="J32">
        <v>35</v>
      </c>
      <c r="K32">
        <v>7</v>
      </c>
      <c r="L32" t="s">
        <v>27</v>
      </c>
      <c r="M32" s="5">
        <v>8.9545283153180097</v>
      </c>
      <c r="N32" t="s">
        <v>52</v>
      </c>
      <c r="O32" t="s">
        <v>45</v>
      </c>
      <c r="P32">
        <v>27</v>
      </c>
      <c r="Q32">
        <v>806</v>
      </c>
      <c r="R32">
        <v>30</v>
      </c>
      <c r="S32" s="5">
        <v>51.634893400109299</v>
      </c>
      <c r="T32" t="s">
        <v>30</v>
      </c>
      <c r="U32" s="4">
        <v>0.96539470535239302</v>
      </c>
      <c r="V32" t="s">
        <v>31</v>
      </c>
      <c r="W32" t="s">
        <v>41</v>
      </c>
      <c r="X32" s="5">
        <v>880.08098824716103</v>
      </c>
    </row>
    <row r="33" spans="1:24" x14ac:dyDescent="0.25">
      <c r="A33" t="s">
        <v>201</v>
      </c>
      <c r="B33" t="s">
        <v>85</v>
      </c>
      <c r="C33" s="5">
        <v>50.847393051718697</v>
      </c>
      <c r="D33">
        <v>28</v>
      </c>
      <c r="E33">
        <v>168</v>
      </c>
      <c r="F33" s="5">
        <v>9655.1351027193905</v>
      </c>
      <c r="G33" t="s">
        <v>55</v>
      </c>
      <c r="H33">
        <v>6</v>
      </c>
      <c r="I33">
        <v>17</v>
      </c>
      <c r="J33">
        <v>44</v>
      </c>
      <c r="K33">
        <v>4</v>
      </c>
      <c r="L33" t="s">
        <v>27</v>
      </c>
      <c r="M33" s="5">
        <v>2.6796609649813998</v>
      </c>
      <c r="N33" t="s">
        <v>28</v>
      </c>
      <c r="O33" t="s">
        <v>62</v>
      </c>
      <c r="P33">
        <v>24</v>
      </c>
      <c r="Q33">
        <v>461</v>
      </c>
      <c r="R33">
        <v>8</v>
      </c>
      <c r="S33" s="5">
        <v>60.251145661598002</v>
      </c>
      <c r="T33" t="s">
        <v>30</v>
      </c>
      <c r="U33" s="4">
        <v>2.9890000066550702</v>
      </c>
      <c r="V33" t="s">
        <v>47</v>
      </c>
      <c r="W33" t="s">
        <v>41</v>
      </c>
      <c r="X33" s="5">
        <v>609.379206618426</v>
      </c>
    </row>
    <row r="34" spans="1:24" x14ac:dyDescent="0.25">
      <c r="A34" t="s">
        <v>201</v>
      </c>
      <c r="B34" t="s">
        <v>86</v>
      </c>
      <c r="C34" s="5">
        <v>79.209936015656695</v>
      </c>
      <c r="D34">
        <v>43</v>
      </c>
      <c r="E34">
        <v>781</v>
      </c>
      <c r="F34" s="5">
        <v>9571.5504873278096</v>
      </c>
      <c r="G34" t="s">
        <v>38</v>
      </c>
      <c r="H34">
        <v>89</v>
      </c>
      <c r="I34">
        <v>13</v>
      </c>
      <c r="J34">
        <v>64</v>
      </c>
      <c r="K34">
        <v>4</v>
      </c>
      <c r="L34" t="s">
        <v>43</v>
      </c>
      <c r="M34" s="5">
        <v>6.5991049012385803</v>
      </c>
      <c r="N34" t="s">
        <v>28</v>
      </c>
      <c r="O34" t="s">
        <v>45</v>
      </c>
      <c r="P34">
        <v>30</v>
      </c>
      <c r="Q34">
        <v>737</v>
      </c>
      <c r="R34">
        <v>7</v>
      </c>
      <c r="S34" s="5">
        <v>29.6924671537497</v>
      </c>
      <c r="T34" t="s">
        <v>64</v>
      </c>
      <c r="U34" s="4">
        <v>1.94603611938611</v>
      </c>
      <c r="V34" t="s">
        <v>31</v>
      </c>
      <c r="W34" t="s">
        <v>48</v>
      </c>
      <c r="X34" s="5">
        <v>761.17390951487698</v>
      </c>
    </row>
    <row r="35" spans="1:24" x14ac:dyDescent="0.25">
      <c r="A35" t="s">
        <v>199</v>
      </c>
      <c r="B35" t="s">
        <v>87</v>
      </c>
      <c r="C35" s="5">
        <v>64.795435000155607</v>
      </c>
      <c r="D35">
        <v>63</v>
      </c>
      <c r="E35">
        <v>616</v>
      </c>
      <c r="F35" s="5">
        <v>5149.9983504080301</v>
      </c>
      <c r="G35" t="s">
        <v>26</v>
      </c>
      <c r="H35">
        <v>4</v>
      </c>
      <c r="I35">
        <v>17</v>
      </c>
      <c r="J35">
        <v>95</v>
      </c>
      <c r="K35">
        <v>9</v>
      </c>
      <c r="L35" t="s">
        <v>43</v>
      </c>
      <c r="M35" s="5">
        <v>4.85827050343664</v>
      </c>
      <c r="N35" t="s">
        <v>44</v>
      </c>
      <c r="O35" t="s">
        <v>62</v>
      </c>
      <c r="P35">
        <v>1</v>
      </c>
      <c r="Q35">
        <v>251</v>
      </c>
      <c r="R35">
        <v>23</v>
      </c>
      <c r="S35" s="5">
        <v>23.853427512896101</v>
      </c>
      <c r="T35" t="s">
        <v>46</v>
      </c>
      <c r="U35" s="4">
        <v>3.54104601225092</v>
      </c>
      <c r="V35" t="s">
        <v>56</v>
      </c>
      <c r="W35" t="s">
        <v>48</v>
      </c>
      <c r="X35" s="5">
        <v>371.25529551987103</v>
      </c>
    </row>
    <row r="36" spans="1:24" x14ac:dyDescent="0.25">
      <c r="A36" t="s">
        <v>201</v>
      </c>
      <c r="B36" t="s">
        <v>88</v>
      </c>
      <c r="C36" s="5">
        <v>37.467592329842397</v>
      </c>
      <c r="D36">
        <v>96</v>
      </c>
      <c r="E36">
        <v>602</v>
      </c>
      <c r="F36" s="5">
        <v>9061.7108955077201</v>
      </c>
      <c r="G36" t="s">
        <v>38</v>
      </c>
      <c r="H36">
        <v>1</v>
      </c>
      <c r="I36">
        <v>26</v>
      </c>
      <c r="J36">
        <v>21</v>
      </c>
      <c r="K36">
        <v>7</v>
      </c>
      <c r="L36" t="s">
        <v>36</v>
      </c>
      <c r="M36" s="5">
        <v>1.0194875708221101</v>
      </c>
      <c r="N36" t="s">
        <v>39</v>
      </c>
      <c r="O36" t="s">
        <v>62</v>
      </c>
      <c r="P36">
        <v>4</v>
      </c>
      <c r="Q36">
        <v>452</v>
      </c>
      <c r="R36">
        <v>10</v>
      </c>
      <c r="S36" s="5">
        <v>10.754272815029299</v>
      </c>
      <c r="T36" t="s">
        <v>64</v>
      </c>
      <c r="U36" s="4">
        <v>0.64660455937205397</v>
      </c>
      <c r="V36" t="s">
        <v>31</v>
      </c>
      <c r="W36" t="s">
        <v>32</v>
      </c>
      <c r="X36" s="5">
        <v>510.35800043352299</v>
      </c>
    </row>
    <row r="37" spans="1:24" x14ac:dyDescent="0.25">
      <c r="A37" t="s">
        <v>199</v>
      </c>
      <c r="B37" t="s">
        <v>89</v>
      </c>
      <c r="C37" s="5">
        <v>84.957786816350406</v>
      </c>
      <c r="D37">
        <v>11</v>
      </c>
      <c r="E37">
        <v>449</v>
      </c>
      <c r="F37" s="5">
        <v>6541.3293448024597</v>
      </c>
      <c r="G37" t="s">
        <v>35</v>
      </c>
      <c r="H37">
        <v>42</v>
      </c>
      <c r="I37">
        <v>27</v>
      </c>
      <c r="J37">
        <v>85</v>
      </c>
      <c r="K37">
        <v>8</v>
      </c>
      <c r="L37" t="s">
        <v>43</v>
      </c>
      <c r="M37" s="5">
        <v>5.2881899903273997</v>
      </c>
      <c r="N37" t="s">
        <v>39</v>
      </c>
      <c r="O37" t="s">
        <v>50</v>
      </c>
      <c r="P37">
        <v>3</v>
      </c>
      <c r="Q37">
        <v>367</v>
      </c>
      <c r="R37">
        <v>2</v>
      </c>
      <c r="S37" s="5">
        <v>58.004787044743701</v>
      </c>
      <c r="T37" t="s">
        <v>64</v>
      </c>
      <c r="U37" s="4">
        <v>0.54115409806058101</v>
      </c>
      <c r="V37" t="s">
        <v>56</v>
      </c>
      <c r="W37" t="s">
        <v>41</v>
      </c>
      <c r="X37" s="5">
        <v>553.42047123035502</v>
      </c>
    </row>
    <row r="38" spans="1:24" x14ac:dyDescent="0.25">
      <c r="A38" t="s">
        <v>201</v>
      </c>
      <c r="B38" t="s">
        <v>90</v>
      </c>
      <c r="C38" s="5">
        <v>9.81300257875405</v>
      </c>
      <c r="D38">
        <v>34</v>
      </c>
      <c r="E38">
        <v>963</v>
      </c>
      <c r="F38" s="5">
        <v>7573.4024578487297</v>
      </c>
      <c r="G38" t="s">
        <v>35</v>
      </c>
      <c r="H38">
        <v>18</v>
      </c>
      <c r="I38">
        <v>23</v>
      </c>
      <c r="J38">
        <v>28</v>
      </c>
      <c r="K38">
        <v>3</v>
      </c>
      <c r="L38" t="s">
        <v>27</v>
      </c>
      <c r="M38" s="5">
        <v>2.1079512671590801</v>
      </c>
      <c r="N38" t="s">
        <v>61</v>
      </c>
      <c r="O38" t="s">
        <v>50</v>
      </c>
      <c r="P38">
        <v>26</v>
      </c>
      <c r="Q38">
        <v>671</v>
      </c>
      <c r="R38">
        <v>19</v>
      </c>
      <c r="S38" s="5">
        <v>45.531364237162101</v>
      </c>
      <c r="T38" t="s">
        <v>46</v>
      </c>
      <c r="U38" s="4">
        <v>3.8055333792433501</v>
      </c>
      <c r="V38" t="s">
        <v>40</v>
      </c>
      <c r="W38" t="s">
        <v>41</v>
      </c>
      <c r="X38" s="5">
        <v>403.80897424817999</v>
      </c>
    </row>
    <row r="39" spans="1:24" x14ac:dyDescent="0.25">
      <c r="A39" t="s">
        <v>201</v>
      </c>
      <c r="B39" t="s">
        <v>91</v>
      </c>
      <c r="C39" s="5">
        <v>23.3998447526143</v>
      </c>
      <c r="D39">
        <v>5</v>
      </c>
      <c r="E39">
        <v>963</v>
      </c>
      <c r="F39" s="5">
        <v>2438.3399304700201</v>
      </c>
      <c r="G39" t="s">
        <v>35</v>
      </c>
      <c r="H39">
        <v>25</v>
      </c>
      <c r="I39">
        <v>8</v>
      </c>
      <c r="J39">
        <v>21</v>
      </c>
      <c r="K39">
        <v>9</v>
      </c>
      <c r="L39" t="s">
        <v>36</v>
      </c>
      <c r="M39" s="5">
        <v>1.53265527359043</v>
      </c>
      <c r="N39" t="s">
        <v>28</v>
      </c>
      <c r="O39" t="s">
        <v>45</v>
      </c>
      <c r="P39">
        <v>24</v>
      </c>
      <c r="Q39">
        <v>867</v>
      </c>
      <c r="R39">
        <v>15</v>
      </c>
      <c r="S39" s="5">
        <v>34.343277465075303</v>
      </c>
      <c r="T39" t="s">
        <v>30</v>
      </c>
      <c r="U39" s="4">
        <v>2.61028808484811</v>
      </c>
      <c r="V39" t="s">
        <v>56</v>
      </c>
      <c r="W39" t="s">
        <v>48</v>
      </c>
      <c r="X39" s="5">
        <v>183.932968043594</v>
      </c>
    </row>
    <row r="40" spans="1:24" x14ac:dyDescent="0.25">
      <c r="A40" t="s">
        <v>199</v>
      </c>
      <c r="B40" t="s">
        <v>92</v>
      </c>
      <c r="C40" s="5">
        <v>52.075930682707799</v>
      </c>
      <c r="D40">
        <v>75</v>
      </c>
      <c r="E40">
        <v>705</v>
      </c>
      <c r="F40" s="5">
        <v>9692.3180402184298</v>
      </c>
      <c r="G40" t="s">
        <v>26</v>
      </c>
      <c r="H40">
        <v>69</v>
      </c>
      <c r="I40">
        <v>1</v>
      </c>
      <c r="J40">
        <v>88</v>
      </c>
      <c r="K40">
        <v>5</v>
      </c>
      <c r="L40" t="s">
        <v>27</v>
      </c>
      <c r="M40" s="5">
        <v>9.2359314372492207</v>
      </c>
      <c r="N40" t="s">
        <v>44</v>
      </c>
      <c r="O40" t="s">
        <v>29</v>
      </c>
      <c r="P40">
        <v>10</v>
      </c>
      <c r="Q40">
        <v>841</v>
      </c>
      <c r="R40">
        <v>12</v>
      </c>
      <c r="S40" s="5">
        <v>5.9306936455283097</v>
      </c>
      <c r="T40" t="s">
        <v>30</v>
      </c>
      <c r="U40" s="4">
        <v>0.613326899164507</v>
      </c>
      <c r="V40" t="s">
        <v>40</v>
      </c>
      <c r="W40" t="s">
        <v>32</v>
      </c>
      <c r="X40" s="5">
        <v>339.67286994860598</v>
      </c>
    </row>
    <row r="41" spans="1:24" x14ac:dyDescent="0.25">
      <c r="A41" t="s">
        <v>201</v>
      </c>
      <c r="B41" t="s">
        <v>93</v>
      </c>
      <c r="C41" s="5">
        <v>19.127477265823199</v>
      </c>
      <c r="D41">
        <v>26</v>
      </c>
      <c r="E41">
        <v>176</v>
      </c>
      <c r="F41" s="5">
        <v>1912.4656631007599</v>
      </c>
      <c r="G41" t="s">
        <v>35</v>
      </c>
      <c r="H41">
        <v>78</v>
      </c>
      <c r="I41">
        <v>29</v>
      </c>
      <c r="J41">
        <v>34</v>
      </c>
      <c r="K41">
        <v>3</v>
      </c>
      <c r="L41" t="s">
        <v>36</v>
      </c>
      <c r="M41" s="5">
        <v>5.5625037788303802</v>
      </c>
      <c r="N41" t="s">
        <v>61</v>
      </c>
      <c r="O41" t="s">
        <v>45</v>
      </c>
      <c r="P41">
        <v>30</v>
      </c>
      <c r="Q41">
        <v>791</v>
      </c>
      <c r="R41">
        <v>6</v>
      </c>
      <c r="S41" s="5">
        <v>9.0058074287816403</v>
      </c>
      <c r="T41" t="s">
        <v>46</v>
      </c>
      <c r="U41" s="4">
        <v>1.4519722039968099</v>
      </c>
      <c r="V41" t="s">
        <v>40</v>
      </c>
      <c r="W41" t="s">
        <v>32</v>
      </c>
      <c r="X41" s="5">
        <v>653.67299455203295</v>
      </c>
    </row>
    <row r="42" spans="1:24" x14ac:dyDescent="0.25">
      <c r="A42" t="s">
        <v>201</v>
      </c>
      <c r="B42" t="s">
        <v>94</v>
      </c>
      <c r="C42" s="5">
        <v>80.541424170940303</v>
      </c>
      <c r="D42">
        <v>97</v>
      </c>
      <c r="E42">
        <v>933</v>
      </c>
      <c r="F42" s="5">
        <v>5724.9593504562599</v>
      </c>
      <c r="G42" t="s">
        <v>35</v>
      </c>
      <c r="H42">
        <v>90</v>
      </c>
      <c r="I42">
        <v>20</v>
      </c>
      <c r="J42">
        <v>39</v>
      </c>
      <c r="K42">
        <v>8</v>
      </c>
      <c r="L42" t="s">
        <v>43</v>
      </c>
      <c r="M42" s="5">
        <v>7.2295951397364702</v>
      </c>
      <c r="N42" t="s">
        <v>39</v>
      </c>
      <c r="O42" t="s">
        <v>45</v>
      </c>
      <c r="P42">
        <v>18</v>
      </c>
      <c r="Q42">
        <v>793</v>
      </c>
      <c r="R42">
        <v>1</v>
      </c>
      <c r="S42" s="5">
        <v>88.179407104217404</v>
      </c>
      <c r="T42" t="s">
        <v>30</v>
      </c>
      <c r="U42" s="4">
        <v>4.2132694305865597</v>
      </c>
      <c r="V42" t="s">
        <v>31</v>
      </c>
      <c r="W42" t="s">
        <v>48</v>
      </c>
      <c r="X42" s="5">
        <v>529.80872398069096</v>
      </c>
    </row>
    <row r="43" spans="1:24" x14ac:dyDescent="0.25">
      <c r="A43" t="s">
        <v>201</v>
      </c>
      <c r="B43" t="s">
        <v>95</v>
      </c>
      <c r="C43" s="5">
        <v>99.113291615317095</v>
      </c>
      <c r="D43">
        <v>35</v>
      </c>
      <c r="E43">
        <v>556</v>
      </c>
      <c r="F43" s="5">
        <v>5521.2052590109697</v>
      </c>
      <c r="G43" t="s">
        <v>35</v>
      </c>
      <c r="H43">
        <v>64</v>
      </c>
      <c r="I43">
        <v>19</v>
      </c>
      <c r="J43">
        <v>38</v>
      </c>
      <c r="K43">
        <v>8</v>
      </c>
      <c r="L43" t="s">
        <v>27</v>
      </c>
      <c r="M43" s="5">
        <v>5.7732637437666501</v>
      </c>
      <c r="N43" t="s">
        <v>52</v>
      </c>
      <c r="O43" t="s">
        <v>62</v>
      </c>
      <c r="P43">
        <v>18</v>
      </c>
      <c r="Q43">
        <v>892</v>
      </c>
      <c r="R43">
        <v>7</v>
      </c>
      <c r="S43" s="5">
        <v>95.332064548772493</v>
      </c>
      <c r="T43" t="s">
        <v>46</v>
      </c>
      <c r="U43" s="4">
        <v>4.5302262398259602E-2</v>
      </c>
      <c r="V43" t="s">
        <v>56</v>
      </c>
      <c r="W43" t="s">
        <v>48</v>
      </c>
      <c r="X43" s="5">
        <v>275.52437113130901</v>
      </c>
    </row>
    <row r="44" spans="1:24" x14ac:dyDescent="0.25">
      <c r="A44" t="s">
        <v>201</v>
      </c>
      <c r="B44" t="s">
        <v>96</v>
      </c>
      <c r="C44" s="5">
        <v>46.529167614516702</v>
      </c>
      <c r="D44">
        <v>98</v>
      </c>
      <c r="E44">
        <v>155</v>
      </c>
      <c r="F44" s="5">
        <v>1839.60942585676</v>
      </c>
      <c r="G44" t="s">
        <v>35</v>
      </c>
      <c r="H44">
        <v>22</v>
      </c>
      <c r="I44">
        <v>27</v>
      </c>
      <c r="J44">
        <v>57</v>
      </c>
      <c r="K44">
        <v>4</v>
      </c>
      <c r="L44" t="s">
        <v>43</v>
      </c>
      <c r="M44" s="5">
        <v>7.5262483268515004</v>
      </c>
      <c r="N44" t="s">
        <v>44</v>
      </c>
      <c r="O44" t="s">
        <v>53</v>
      </c>
      <c r="P44">
        <v>26</v>
      </c>
      <c r="Q44">
        <v>179</v>
      </c>
      <c r="R44">
        <v>7</v>
      </c>
      <c r="S44" s="5">
        <v>96.422820639571796</v>
      </c>
      <c r="T44" t="s">
        <v>46</v>
      </c>
      <c r="U44" s="4">
        <v>4.9392552886209398</v>
      </c>
      <c r="V44" t="s">
        <v>31</v>
      </c>
      <c r="W44" t="s">
        <v>48</v>
      </c>
      <c r="X44" s="5">
        <v>635.65712050199102</v>
      </c>
    </row>
    <row r="45" spans="1:24" x14ac:dyDescent="0.25">
      <c r="A45" t="s">
        <v>200</v>
      </c>
      <c r="B45" t="s">
        <v>97</v>
      </c>
      <c r="C45" s="5">
        <v>11.7432717763092</v>
      </c>
      <c r="D45">
        <v>6</v>
      </c>
      <c r="E45">
        <v>598</v>
      </c>
      <c r="F45" s="5">
        <v>5737.4255991190203</v>
      </c>
      <c r="G45" t="s">
        <v>38</v>
      </c>
      <c r="H45">
        <v>36</v>
      </c>
      <c r="I45">
        <v>29</v>
      </c>
      <c r="J45">
        <v>85</v>
      </c>
      <c r="K45">
        <v>9</v>
      </c>
      <c r="L45" t="s">
        <v>27</v>
      </c>
      <c r="M45" s="5">
        <v>3.6940212683884499</v>
      </c>
      <c r="N45" t="s">
        <v>44</v>
      </c>
      <c r="O45" t="s">
        <v>29</v>
      </c>
      <c r="P45">
        <v>1</v>
      </c>
      <c r="Q45">
        <v>206</v>
      </c>
      <c r="R45">
        <v>23</v>
      </c>
      <c r="S45" s="5">
        <v>26.2773659573324</v>
      </c>
      <c r="T45" t="s">
        <v>30</v>
      </c>
      <c r="U45" s="4">
        <v>0.37230476798509698</v>
      </c>
      <c r="V45" t="s">
        <v>40</v>
      </c>
      <c r="W45" t="s">
        <v>48</v>
      </c>
      <c r="X45" s="5">
        <v>716.04411975933999</v>
      </c>
    </row>
    <row r="46" spans="1:24" x14ac:dyDescent="0.25">
      <c r="A46" t="s">
        <v>199</v>
      </c>
      <c r="B46" t="s">
        <v>98</v>
      </c>
      <c r="C46" s="5">
        <v>51.355790913110297</v>
      </c>
      <c r="D46">
        <v>34</v>
      </c>
      <c r="E46">
        <v>919</v>
      </c>
      <c r="F46" s="5">
        <v>7152.28604943551</v>
      </c>
      <c r="G46" t="s">
        <v>35</v>
      </c>
      <c r="H46">
        <v>13</v>
      </c>
      <c r="I46">
        <v>19</v>
      </c>
      <c r="J46">
        <v>72</v>
      </c>
      <c r="K46">
        <v>6</v>
      </c>
      <c r="L46" t="s">
        <v>43</v>
      </c>
      <c r="M46" s="5">
        <v>7.5774496573766896</v>
      </c>
      <c r="N46" t="s">
        <v>61</v>
      </c>
      <c r="O46" t="s">
        <v>50</v>
      </c>
      <c r="P46">
        <v>7</v>
      </c>
      <c r="Q46">
        <v>834</v>
      </c>
      <c r="R46">
        <v>18</v>
      </c>
      <c r="S46" s="5">
        <v>22.554106620887701</v>
      </c>
      <c r="T46" t="s">
        <v>46</v>
      </c>
      <c r="U46" s="4">
        <v>2.9626263204548802</v>
      </c>
      <c r="V46" t="s">
        <v>47</v>
      </c>
      <c r="W46" t="s">
        <v>48</v>
      </c>
      <c r="X46" s="5">
        <v>610.45326961922694</v>
      </c>
    </row>
    <row r="47" spans="1:24" x14ac:dyDescent="0.25">
      <c r="A47" t="s">
        <v>200</v>
      </c>
      <c r="B47" t="s">
        <v>99</v>
      </c>
      <c r="C47" s="5">
        <v>33.784138033065503</v>
      </c>
      <c r="D47">
        <v>1</v>
      </c>
      <c r="E47">
        <v>24</v>
      </c>
      <c r="F47" s="5">
        <v>5267.9568075105199</v>
      </c>
      <c r="G47" t="s">
        <v>55</v>
      </c>
      <c r="H47">
        <v>93</v>
      </c>
      <c r="I47">
        <v>7</v>
      </c>
      <c r="J47">
        <v>52</v>
      </c>
      <c r="K47">
        <v>6</v>
      </c>
      <c r="L47" t="s">
        <v>27</v>
      </c>
      <c r="M47" s="5">
        <v>5.2151550087119096</v>
      </c>
      <c r="N47" t="s">
        <v>61</v>
      </c>
      <c r="O47" t="s">
        <v>62</v>
      </c>
      <c r="P47">
        <v>25</v>
      </c>
      <c r="Q47">
        <v>794</v>
      </c>
      <c r="R47">
        <v>25</v>
      </c>
      <c r="S47" s="5">
        <v>66.312544439991598</v>
      </c>
      <c r="T47" t="s">
        <v>64</v>
      </c>
      <c r="U47" s="4">
        <v>3.2196046120841002</v>
      </c>
      <c r="V47" t="s">
        <v>47</v>
      </c>
      <c r="W47" t="s">
        <v>48</v>
      </c>
      <c r="X47" s="5">
        <v>495.30569702847299</v>
      </c>
    </row>
    <row r="48" spans="1:24" x14ac:dyDescent="0.25">
      <c r="A48" t="s">
        <v>200</v>
      </c>
      <c r="B48" t="s">
        <v>100</v>
      </c>
      <c r="C48" s="5">
        <v>27.082207199888899</v>
      </c>
      <c r="D48">
        <v>75</v>
      </c>
      <c r="E48">
        <v>859</v>
      </c>
      <c r="F48" s="5">
        <v>2556.7673606335902</v>
      </c>
      <c r="G48" t="s">
        <v>26</v>
      </c>
      <c r="H48">
        <v>92</v>
      </c>
      <c r="I48">
        <v>29</v>
      </c>
      <c r="J48">
        <v>6</v>
      </c>
      <c r="K48">
        <v>8</v>
      </c>
      <c r="L48" t="s">
        <v>27</v>
      </c>
      <c r="M48" s="5">
        <v>4.0709558370840799</v>
      </c>
      <c r="N48" t="s">
        <v>28</v>
      </c>
      <c r="O48" t="s">
        <v>62</v>
      </c>
      <c r="P48">
        <v>18</v>
      </c>
      <c r="Q48">
        <v>870</v>
      </c>
      <c r="R48">
        <v>23</v>
      </c>
      <c r="S48" s="5">
        <v>77.322353211051606</v>
      </c>
      <c r="T48" t="s">
        <v>30</v>
      </c>
      <c r="U48" s="4">
        <v>3.6486105925361998</v>
      </c>
      <c r="V48" t="s">
        <v>31</v>
      </c>
      <c r="W48" t="s">
        <v>32</v>
      </c>
      <c r="X48" s="5">
        <v>380.43593711196399</v>
      </c>
    </row>
    <row r="49" spans="1:24" x14ac:dyDescent="0.25">
      <c r="A49" t="s">
        <v>201</v>
      </c>
      <c r="B49" t="s">
        <v>101</v>
      </c>
      <c r="C49" s="5">
        <v>95.712135880936003</v>
      </c>
      <c r="D49">
        <v>93</v>
      </c>
      <c r="E49">
        <v>910</v>
      </c>
      <c r="F49" s="5">
        <v>7089.4742499341801</v>
      </c>
      <c r="G49" t="s">
        <v>55</v>
      </c>
      <c r="H49">
        <v>4</v>
      </c>
      <c r="I49">
        <v>15</v>
      </c>
      <c r="J49">
        <v>51</v>
      </c>
      <c r="K49">
        <v>9</v>
      </c>
      <c r="L49" t="s">
        <v>27</v>
      </c>
      <c r="M49" s="5">
        <v>8.9787507559499709</v>
      </c>
      <c r="N49" t="s">
        <v>39</v>
      </c>
      <c r="O49" t="s">
        <v>45</v>
      </c>
      <c r="P49">
        <v>10</v>
      </c>
      <c r="Q49">
        <v>964</v>
      </c>
      <c r="R49">
        <v>20</v>
      </c>
      <c r="S49" s="5">
        <v>19.7129929112936</v>
      </c>
      <c r="T49" t="s">
        <v>30</v>
      </c>
      <c r="U49" s="4">
        <v>0.38057358671321301</v>
      </c>
      <c r="V49" t="s">
        <v>47</v>
      </c>
      <c r="W49" t="s">
        <v>48</v>
      </c>
      <c r="X49" s="5">
        <v>581.60235505058597</v>
      </c>
    </row>
    <row r="50" spans="1:24" x14ac:dyDescent="0.25">
      <c r="A50" t="s">
        <v>200</v>
      </c>
      <c r="B50" t="s">
        <v>102</v>
      </c>
      <c r="C50" s="5">
        <v>76.035544426891704</v>
      </c>
      <c r="D50">
        <v>28</v>
      </c>
      <c r="E50">
        <v>29</v>
      </c>
      <c r="F50" s="5">
        <v>7397.0710045871801</v>
      </c>
      <c r="G50" t="s">
        <v>26</v>
      </c>
      <c r="H50">
        <v>30</v>
      </c>
      <c r="I50">
        <v>16</v>
      </c>
      <c r="J50">
        <v>9</v>
      </c>
      <c r="K50">
        <v>3</v>
      </c>
      <c r="L50" t="s">
        <v>43</v>
      </c>
      <c r="M50" s="5">
        <v>7.0958331565551296</v>
      </c>
      <c r="N50" t="s">
        <v>61</v>
      </c>
      <c r="O50" t="s">
        <v>29</v>
      </c>
      <c r="P50">
        <v>9</v>
      </c>
      <c r="Q50">
        <v>109</v>
      </c>
      <c r="R50">
        <v>18</v>
      </c>
      <c r="S50" s="5">
        <v>23.126363582464698</v>
      </c>
      <c r="T50" t="s">
        <v>46</v>
      </c>
      <c r="U50" s="4">
        <v>1.6981125407144</v>
      </c>
      <c r="V50" t="s">
        <v>47</v>
      </c>
      <c r="W50" t="s">
        <v>32</v>
      </c>
      <c r="X50" s="5">
        <v>768.65191395437</v>
      </c>
    </row>
    <row r="51" spans="1:24" x14ac:dyDescent="0.25">
      <c r="A51" t="s">
        <v>199</v>
      </c>
      <c r="B51" t="s">
        <v>103</v>
      </c>
      <c r="C51" s="5">
        <v>78.897913205639995</v>
      </c>
      <c r="D51">
        <v>19</v>
      </c>
      <c r="E51">
        <v>99</v>
      </c>
      <c r="F51" s="5">
        <v>8001.6132065190004</v>
      </c>
      <c r="G51" t="s">
        <v>38</v>
      </c>
      <c r="H51">
        <v>97</v>
      </c>
      <c r="I51">
        <v>24</v>
      </c>
      <c r="J51">
        <v>9</v>
      </c>
      <c r="K51">
        <v>6</v>
      </c>
      <c r="L51" t="s">
        <v>43</v>
      </c>
      <c r="M51" s="5">
        <v>2.5056210329009101</v>
      </c>
      <c r="N51" t="s">
        <v>44</v>
      </c>
      <c r="O51" t="s">
        <v>50</v>
      </c>
      <c r="P51">
        <v>28</v>
      </c>
      <c r="Q51">
        <v>177</v>
      </c>
      <c r="R51">
        <v>28</v>
      </c>
      <c r="S51" s="5">
        <v>14.1478154439792</v>
      </c>
      <c r="T51" t="s">
        <v>64</v>
      </c>
      <c r="U51" s="4">
        <v>2.8258139854001301</v>
      </c>
      <c r="V51" t="s">
        <v>47</v>
      </c>
      <c r="W51" t="s">
        <v>48</v>
      </c>
      <c r="X51" s="5">
        <v>336.89016851997701</v>
      </c>
    </row>
    <row r="52" spans="1:24" x14ac:dyDescent="0.25">
      <c r="A52" t="s">
        <v>199</v>
      </c>
      <c r="B52" t="s">
        <v>104</v>
      </c>
      <c r="C52" s="5">
        <v>14.203484264803</v>
      </c>
      <c r="D52">
        <v>91</v>
      </c>
      <c r="E52">
        <v>633</v>
      </c>
      <c r="F52" s="5">
        <v>5910.8853896688897</v>
      </c>
      <c r="G52" t="s">
        <v>35</v>
      </c>
      <c r="H52">
        <v>31</v>
      </c>
      <c r="I52">
        <v>23</v>
      </c>
      <c r="J52">
        <v>82</v>
      </c>
      <c r="K52">
        <v>10</v>
      </c>
      <c r="L52" t="s">
        <v>36</v>
      </c>
      <c r="M52" s="5">
        <v>6.2478609149759903</v>
      </c>
      <c r="N52" t="s">
        <v>61</v>
      </c>
      <c r="O52" t="s">
        <v>50</v>
      </c>
      <c r="P52">
        <v>20</v>
      </c>
      <c r="Q52">
        <v>306</v>
      </c>
      <c r="R52">
        <v>21</v>
      </c>
      <c r="S52" s="5">
        <v>45.178757924634503</v>
      </c>
      <c r="T52" t="s">
        <v>46</v>
      </c>
      <c r="U52" s="4">
        <v>4.7548008046711798</v>
      </c>
      <c r="V52" t="s">
        <v>47</v>
      </c>
      <c r="W52" t="s">
        <v>32</v>
      </c>
      <c r="X52" s="5">
        <v>496.24865029194001</v>
      </c>
    </row>
    <row r="53" spans="1:24" x14ac:dyDescent="0.25">
      <c r="A53" t="s">
        <v>200</v>
      </c>
      <c r="B53" t="s">
        <v>105</v>
      </c>
      <c r="C53" s="5">
        <v>26.700760972461701</v>
      </c>
      <c r="D53">
        <v>61</v>
      </c>
      <c r="E53">
        <v>154</v>
      </c>
      <c r="F53" s="5">
        <v>9866.4654579796897</v>
      </c>
      <c r="G53" t="s">
        <v>55</v>
      </c>
      <c r="H53">
        <v>100</v>
      </c>
      <c r="I53">
        <v>4</v>
      </c>
      <c r="J53">
        <v>52</v>
      </c>
      <c r="K53">
        <v>1</v>
      </c>
      <c r="L53" t="s">
        <v>36</v>
      </c>
      <c r="M53" s="5">
        <v>4.78300055794766</v>
      </c>
      <c r="N53" t="s">
        <v>44</v>
      </c>
      <c r="O53" t="s">
        <v>53</v>
      </c>
      <c r="P53">
        <v>18</v>
      </c>
      <c r="Q53">
        <v>673</v>
      </c>
      <c r="R53">
        <v>28</v>
      </c>
      <c r="S53" s="5">
        <v>14.190328344569901</v>
      </c>
      <c r="T53" t="s">
        <v>30</v>
      </c>
      <c r="U53" s="4">
        <v>1.77295117208355</v>
      </c>
      <c r="V53" t="s">
        <v>31</v>
      </c>
      <c r="W53" t="s">
        <v>48</v>
      </c>
      <c r="X53" s="5">
        <v>694.98231757944495</v>
      </c>
    </row>
    <row r="54" spans="1:24" x14ac:dyDescent="0.25">
      <c r="A54" t="s">
        <v>201</v>
      </c>
      <c r="B54" t="s">
        <v>106</v>
      </c>
      <c r="C54" s="5">
        <v>98.031829656465007</v>
      </c>
      <c r="D54">
        <v>1</v>
      </c>
      <c r="E54">
        <v>820</v>
      </c>
      <c r="F54" s="5">
        <v>9435.7626089121295</v>
      </c>
      <c r="G54" t="s">
        <v>55</v>
      </c>
      <c r="H54">
        <v>64</v>
      </c>
      <c r="I54">
        <v>11</v>
      </c>
      <c r="J54">
        <v>11</v>
      </c>
      <c r="K54">
        <v>1</v>
      </c>
      <c r="L54" t="s">
        <v>27</v>
      </c>
      <c r="M54" s="5">
        <v>8.6310521797689397</v>
      </c>
      <c r="N54" t="s">
        <v>39</v>
      </c>
      <c r="O54" t="s">
        <v>29</v>
      </c>
      <c r="P54">
        <v>10</v>
      </c>
      <c r="Q54">
        <v>727</v>
      </c>
      <c r="R54">
        <v>27</v>
      </c>
      <c r="S54" s="5">
        <v>9.1668491485971497</v>
      </c>
      <c r="T54" t="s">
        <v>30</v>
      </c>
      <c r="U54" s="4">
        <v>2.1224716191438202</v>
      </c>
      <c r="V54" t="s">
        <v>40</v>
      </c>
      <c r="W54" t="s">
        <v>41</v>
      </c>
      <c r="X54" s="5">
        <v>602.89849883838303</v>
      </c>
    </row>
    <row r="55" spans="1:24" x14ac:dyDescent="0.25">
      <c r="A55" t="s">
        <v>201</v>
      </c>
      <c r="B55" t="s">
        <v>107</v>
      </c>
      <c r="C55" s="5">
        <v>30.3414707112142</v>
      </c>
      <c r="D55">
        <v>93</v>
      </c>
      <c r="E55">
        <v>242</v>
      </c>
      <c r="F55" s="5">
        <v>8232.3348294258194</v>
      </c>
      <c r="G55" t="s">
        <v>55</v>
      </c>
      <c r="H55">
        <v>96</v>
      </c>
      <c r="I55">
        <v>25</v>
      </c>
      <c r="J55">
        <v>54</v>
      </c>
      <c r="K55">
        <v>3</v>
      </c>
      <c r="L55" t="s">
        <v>27</v>
      </c>
      <c r="M55" s="5">
        <v>1.0134865660958901</v>
      </c>
      <c r="N55" t="s">
        <v>39</v>
      </c>
      <c r="O55" t="s">
        <v>50</v>
      </c>
      <c r="P55">
        <v>1</v>
      </c>
      <c r="Q55">
        <v>631</v>
      </c>
      <c r="R55">
        <v>17</v>
      </c>
      <c r="S55" s="5">
        <v>83.344058991677898</v>
      </c>
      <c r="T55" t="s">
        <v>30</v>
      </c>
      <c r="U55" s="4">
        <v>1.41034757607602</v>
      </c>
      <c r="V55" t="s">
        <v>40</v>
      </c>
      <c r="W55" t="s">
        <v>32</v>
      </c>
      <c r="X55" s="5">
        <v>750.73784066827</v>
      </c>
    </row>
    <row r="56" spans="1:24" x14ac:dyDescent="0.25">
      <c r="A56" t="s">
        <v>200</v>
      </c>
      <c r="B56" t="s">
        <v>108</v>
      </c>
      <c r="C56" s="5">
        <v>31.1462431602408</v>
      </c>
      <c r="D56">
        <v>11</v>
      </c>
      <c r="E56">
        <v>622</v>
      </c>
      <c r="F56" s="5">
        <v>6088.0214799408504</v>
      </c>
      <c r="G56" t="s">
        <v>26</v>
      </c>
      <c r="H56">
        <v>33</v>
      </c>
      <c r="I56">
        <v>22</v>
      </c>
      <c r="J56">
        <v>61</v>
      </c>
      <c r="K56">
        <v>3</v>
      </c>
      <c r="L56" t="s">
        <v>27</v>
      </c>
      <c r="M56" s="5">
        <v>4.3051034712876302</v>
      </c>
      <c r="N56" t="s">
        <v>39</v>
      </c>
      <c r="O56" t="s">
        <v>45</v>
      </c>
      <c r="P56">
        <v>26</v>
      </c>
      <c r="Q56">
        <v>497</v>
      </c>
      <c r="R56">
        <v>29</v>
      </c>
      <c r="S56" s="5">
        <v>30.186023375822501</v>
      </c>
      <c r="T56" t="s">
        <v>64</v>
      </c>
      <c r="U56" s="4">
        <v>2.4787719755397402</v>
      </c>
      <c r="V56" t="s">
        <v>31</v>
      </c>
      <c r="W56" t="s">
        <v>32</v>
      </c>
      <c r="X56" s="5">
        <v>814.06999658218695</v>
      </c>
    </row>
    <row r="57" spans="1:24" x14ac:dyDescent="0.25">
      <c r="A57" t="s">
        <v>200</v>
      </c>
      <c r="B57" t="s">
        <v>109</v>
      </c>
      <c r="C57" s="5">
        <v>79.855058340789398</v>
      </c>
      <c r="D57">
        <v>16</v>
      </c>
      <c r="E57">
        <v>701</v>
      </c>
      <c r="F57" s="5">
        <v>2925.6751703038099</v>
      </c>
      <c r="G57" t="s">
        <v>55</v>
      </c>
      <c r="H57">
        <v>97</v>
      </c>
      <c r="I57">
        <v>11</v>
      </c>
      <c r="J57">
        <v>11</v>
      </c>
      <c r="K57">
        <v>5</v>
      </c>
      <c r="L57" t="s">
        <v>36</v>
      </c>
      <c r="M57" s="5">
        <v>5.0143649550309002</v>
      </c>
      <c r="N57" t="s">
        <v>61</v>
      </c>
      <c r="O57" t="s">
        <v>50</v>
      </c>
      <c r="P57">
        <v>27</v>
      </c>
      <c r="Q57">
        <v>918</v>
      </c>
      <c r="R57">
        <v>5</v>
      </c>
      <c r="S57" s="5">
        <v>30.323545256616502</v>
      </c>
      <c r="T57" t="s">
        <v>46</v>
      </c>
      <c r="U57" s="4">
        <v>4.5489196593963799</v>
      </c>
      <c r="V57" t="s">
        <v>56</v>
      </c>
      <c r="W57" t="s">
        <v>32</v>
      </c>
      <c r="X57" s="5">
        <v>323.01292795247798</v>
      </c>
    </row>
    <row r="58" spans="1:24" x14ac:dyDescent="0.25">
      <c r="A58" t="s">
        <v>201</v>
      </c>
      <c r="B58" t="s">
        <v>110</v>
      </c>
      <c r="C58" s="5">
        <v>20.9863860370433</v>
      </c>
      <c r="D58">
        <v>90</v>
      </c>
      <c r="E58">
        <v>93</v>
      </c>
      <c r="F58" s="5">
        <v>4767.0204843441297</v>
      </c>
      <c r="G58" t="s">
        <v>26</v>
      </c>
      <c r="H58">
        <v>25</v>
      </c>
      <c r="I58">
        <v>23</v>
      </c>
      <c r="J58">
        <v>83</v>
      </c>
      <c r="K58">
        <v>5</v>
      </c>
      <c r="L58" t="s">
        <v>43</v>
      </c>
      <c r="M58" s="5">
        <v>1.77442971407173</v>
      </c>
      <c r="N58" t="s">
        <v>39</v>
      </c>
      <c r="O58" t="s">
        <v>29</v>
      </c>
      <c r="P58">
        <v>24</v>
      </c>
      <c r="Q58">
        <v>826</v>
      </c>
      <c r="R58">
        <v>28</v>
      </c>
      <c r="S58" s="5">
        <v>12.8362845728327</v>
      </c>
      <c r="T58" t="s">
        <v>64</v>
      </c>
      <c r="U58" s="4">
        <v>1.1737554953874501</v>
      </c>
      <c r="V58" t="s">
        <v>40</v>
      </c>
      <c r="W58" t="s">
        <v>32</v>
      </c>
      <c r="X58" s="5">
        <v>832.210808706021</v>
      </c>
    </row>
    <row r="59" spans="1:24" x14ac:dyDescent="0.25">
      <c r="A59" t="s">
        <v>200</v>
      </c>
      <c r="B59" t="s">
        <v>111</v>
      </c>
      <c r="C59" s="5">
        <v>49.263205350734097</v>
      </c>
      <c r="D59">
        <v>65</v>
      </c>
      <c r="E59">
        <v>227</v>
      </c>
      <c r="F59" s="5">
        <v>1605.8669003924001</v>
      </c>
      <c r="G59" t="s">
        <v>38</v>
      </c>
      <c r="H59">
        <v>5</v>
      </c>
      <c r="I59">
        <v>18</v>
      </c>
      <c r="J59">
        <v>51</v>
      </c>
      <c r="K59">
        <v>1</v>
      </c>
      <c r="L59" t="s">
        <v>27</v>
      </c>
      <c r="M59" s="5">
        <v>9.1605585353818704</v>
      </c>
      <c r="N59" t="s">
        <v>61</v>
      </c>
      <c r="O59" t="s">
        <v>50</v>
      </c>
      <c r="P59">
        <v>21</v>
      </c>
      <c r="Q59">
        <v>588</v>
      </c>
      <c r="R59">
        <v>25</v>
      </c>
      <c r="S59" s="5">
        <v>67.779622987078099</v>
      </c>
      <c r="T59" t="s">
        <v>30</v>
      </c>
      <c r="U59" s="4">
        <v>2.5111748302126999</v>
      </c>
      <c r="V59" t="s">
        <v>47</v>
      </c>
      <c r="W59" t="s">
        <v>48</v>
      </c>
      <c r="X59" s="5">
        <v>482.19123860252802</v>
      </c>
    </row>
    <row r="60" spans="1:24" x14ac:dyDescent="0.25">
      <c r="A60" t="s">
        <v>201</v>
      </c>
      <c r="B60" t="s">
        <v>112</v>
      </c>
      <c r="C60" s="5">
        <v>59.841561377289302</v>
      </c>
      <c r="D60">
        <v>81</v>
      </c>
      <c r="E60">
        <v>896</v>
      </c>
      <c r="F60" s="5">
        <v>2021.1498103371</v>
      </c>
      <c r="G60" t="s">
        <v>26</v>
      </c>
      <c r="H60">
        <v>10</v>
      </c>
      <c r="I60">
        <v>5</v>
      </c>
      <c r="J60">
        <v>44</v>
      </c>
      <c r="K60">
        <v>7</v>
      </c>
      <c r="L60" t="s">
        <v>36</v>
      </c>
      <c r="M60" s="5">
        <v>4.9384385647120901</v>
      </c>
      <c r="N60" t="s">
        <v>28</v>
      </c>
      <c r="O60" t="s">
        <v>50</v>
      </c>
      <c r="P60">
        <v>18</v>
      </c>
      <c r="Q60">
        <v>396</v>
      </c>
      <c r="R60">
        <v>7</v>
      </c>
      <c r="S60" s="5">
        <v>65.047415094691402</v>
      </c>
      <c r="T60" t="s">
        <v>46</v>
      </c>
      <c r="U60" s="4">
        <v>1.7303747198591899</v>
      </c>
      <c r="V60" t="s">
        <v>31</v>
      </c>
      <c r="W60" t="s">
        <v>32</v>
      </c>
      <c r="X60" s="5">
        <v>110.364335231364</v>
      </c>
    </row>
    <row r="61" spans="1:24" x14ac:dyDescent="0.25">
      <c r="A61" t="s">
        <v>199</v>
      </c>
      <c r="B61" t="s">
        <v>113</v>
      </c>
      <c r="C61" s="5">
        <v>63.828398347710902</v>
      </c>
      <c r="D61">
        <v>30</v>
      </c>
      <c r="E61">
        <v>484</v>
      </c>
      <c r="F61" s="5">
        <v>1061.6185230132801</v>
      </c>
      <c r="G61" t="s">
        <v>26</v>
      </c>
      <c r="H61">
        <v>100</v>
      </c>
      <c r="I61">
        <v>16</v>
      </c>
      <c r="J61">
        <v>26</v>
      </c>
      <c r="K61">
        <v>7</v>
      </c>
      <c r="L61" t="s">
        <v>27</v>
      </c>
      <c r="M61" s="5">
        <v>7.2937225968677204</v>
      </c>
      <c r="N61" t="s">
        <v>39</v>
      </c>
      <c r="O61" t="s">
        <v>45</v>
      </c>
      <c r="P61">
        <v>11</v>
      </c>
      <c r="Q61">
        <v>176</v>
      </c>
      <c r="R61">
        <v>4</v>
      </c>
      <c r="S61" s="5">
        <v>1.90076224351945</v>
      </c>
      <c r="T61" t="s">
        <v>46</v>
      </c>
      <c r="U61" s="4">
        <v>0.44719401546382298</v>
      </c>
      <c r="V61" t="s">
        <v>40</v>
      </c>
      <c r="W61" t="s">
        <v>48</v>
      </c>
      <c r="X61" s="5">
        <v>312.57427361009297</v>
      </c>
    </row>
    <row r="62" spans="1:24" x14ac:dyDescent="0.25">
      <c r="A62" t="s">
        <v>201</v>
      </c>
      <c r="B62" t="s">
        <v>114</v>
      </c>
      <c r="C62" s="5">
        <v>17.028027920188698</v>
      </c>
      <c r="D62">
        <v>16</v>
      </c>
      <c r="E62">
        <v>380</v>
      </c>
      <c r="F62" s="5">
        <v>8864.0843495864301</v>
      </c>
      <c r="G62" t="s">
        <v>35</v>
      </c>
      <c r="H62">
        <v>41</v>
      </c>
      <c r="I62">
        <v>27</v>
      </c>
      <c r="J62">
        <v>72</v>
      </c>
      <c r="K62">
        <v>8</v>
      </c>
      <c r="L62" t="s">
        <v>43</v>
      </c>
      <c r="M62" s="5">
        <v>4.3813681581023101</v>
      </c>
      <c r="N62" t="s">
        <v>52</v>
      </c>
      <c r="O62" t="s">
        <v>29</v>
      </c>
      <c r="P62">
        <v>29</v>
      </c>
      <c r="Q62">
        <v>929</v>
      </c>
      <c r="R62">
        <v>24</v>
      </c>
      <c r="S62" s="5">
        <v>87.213057815135599</v>
      </c>
      <c r="T62" t="s">
        <v>46</v>
      </c>
      <c r="U62" s="4">
        <v>2.8530906166490499</v>
      </c>
      <c r="V62" t="s">
        <v>47</v>
      </c>
      <c r="W62" t="s">
        <v>48</v>
      </c>
      <c r="X62" s="5">
        <v>430.16909697513597</v>
      </c>
    </row>
    <row r="63" spans="1:24" x14ac:dyDescent="0.25">
      <c r="A63" t="s">
        <v>200</v>
      </c>
      <c r="B63" t="s">
        <v>115</v>
      </c>
      <c r="C63" s="5">
        <v>52.028749903294901</v>
      </c>
      <c r="D63">
        <v>23</v>
      </c>
      <c r="E63">
        <v>117</v>
      </c>
      <c r="F63" s="5">
        <v>6885.5893508962499</v>
      </c>
      <c r="G63" t="s">
        <v>38</v>
      </c>
      <c r="H63">
        <v>32</v>
      </c>
      <c r="I63">
        <v>23</v>
      </c>
      <c r="J63">
        <v>36</v>
      </c>
      <c r="K63">
        <v>7</v>
      </c>
      <c r="L63" t="s">
        <v>43</v>
      </c>
      <c r="M63" s="5">
        <v>9.0303404225219399</v>
      </c>
      <c r="N63" t="s">
        <v>52</v>
      </c>
      <c r="O63" t="s">
        <v>45</v>
      </c>
      <c r="P63">
        <v>14</v>
      </c>
      <c r="Q63">
        <v>480</v>
      </c>
      <c r="R63">
        <v>12</v>
      </c>
      <c r="S63" s="5">
        <v>78.702393968878894</v>
      </c>
      <c r="T63" t="s">
        <v>46</v>
      </c>
      <c r="U63" s="4">
        <v>4.3674705382050503</v>
      </c>
      <c r="V63" t="s">
        <v>40</v>
      </c>
      <c r="W63" t="s">
        <v>48</v>
      </c>
      <c r="X63" s="5">
        <v>164.366528243419</v>
      </c>
    </row>
    <row r="64" spans="1:24" x14ac:dyDescent="0.25">
      <c r="A64" t="s">
        <v>199</v>
      </c>
      <c r="B64" t="s">
        <v>116</v>
      </c>
      <c r="C64" s="5">
        <v>72.796353955587307</v>
      </c>
      <c r="D64">
        <v>89</v>
      </c>
      <c r="E64">
        <v>270</v>
      </c>
      <c r="F64" s="5">
        <v>3899.7468337292198</v>
      </c>
      <c r="G64" t="s">
        <v>38</v>
      </c>
      <c r="H64">
        <v>86</v>
      </c>
      <c r="I64">
        <v>2</v>
      </c>
      <c r="J64">
        <v>40</v>
      </c>
      <c r="K64">
        <v>7</v>
      </c>
      <c r="L64" t="s">
        <v>43</v>
      </c>
      <c r="M64" s="5">
        <v>7.2917013887767697</v>
      </c>
      <c r="N64" t="s">
        <v>61</v>
      </c>
      <c r="O64" t="s">
        <v>29</v>
      </c>
      <c r="P64">
        <v>13</v>
      </c>
      <c r="Q64">
        <v>751</v>
      </c>
      <c r="R64">
        <v>14</v>
      </c>
      <c r="S64" s="5">
        <v>21.048642725168602</v>
      </c>
      <c r="T64" t="s">
        <v>64</v>
      </c>
      <c r="U64" s="4">
        <v>1.87400140404437</v>
      </c>
      <c r="V64" t="s">
        <v>56</v>
      </c>
      <c r="W64" t="s">
        <v>41</v>
      </c>
      <c r="X64" s="5">
        <v>320.84651575911101</v>
      </c>
    </row>
    <row r="65" spans="1:24" x14ac:dyDescent="0.25">
      <c r="A65" t="s">
        <v>201</v>
      </c>
      <c r="B65" t="s">
        <v>117</v>
      </c>
      <c r="C65" s="5">
        <v>13.0173767852878</v>
      </c>
      <c r="D65">
        <v>55</v>
      </c>
      <c r="E65">
        <v>246</v>
      </c>
      <c r="F65" s="5">
        <v>4256.9491408502199</v>
      </c>
      <c r="G65" t="s">
        <v>26</v>
      </c>
      <c r="H65">
        <v>54</v>
      </c>
      <c r="I65">
        <v>19</v>
      </c>
      <c r="J65">
        <v>10</v>
      </c>
      <c r="K65">
        <v>4</v>
      </c>
      <c r="L65" t="s">
        <v>36</v>
      </c>
      <c r="M65" s="5">
        <v>2.45793352798733</v>
      </c>
      <c r="N65" t="s">
        <v>28</v>
      </c>
      <c r="O65" t="s">
        <v>53</v>
      </c>
      <c r="P65">
        <v>18</v>
      </c>
      <c r="Q65">
        <v>736</v>
      </c>
      <c r="R65">
        <v>10</v>
      </c>
      <c r="S65" s="5">
        <v>20.075003975630398</v>
      </c>
      <c r="T65" t="s">
        <v>30</v>
      </c>
      <c r="U65" s="4">
        <v>3.6328432903821302</v>
      </c>
      <c r="V65" t="s">
        <v>56</v>
      </c>
      <c r="W65" t="s">
        <v>48</v>
      </c>
      <c r="X65" s="5">
        <v>687.28617786641701</v>
      </c>
    </row>
    <row r="66" spans="1:24" x14ac:dyDescent="0.25">
      <c r="A66" t="s">
        <v>201</v>
      </c>
      <c r="B66" t="s">
        <v>118</v>
      </c>
      <c r="C66" s="5">
        <v>89.634095608135297</v>
      </c>
      <c r="D66">
        <v>11</v>
      </c>
      <c r="E66">
        <v>134</v>
      </c>
      <c r="F66" s="5">
        <v>8458.7308783671706</v>
      </c>
      <c r="G66" t="s">
        <v>35</v>
      </c>
      <c r="H66">
        <v>73</v>
      </c>
      <c r="I66">
        <v>27</v>
      </c>
      <c r="J66">
        <v>75</v>
      </c>
      <c r="K66">
        <v>6</v>
      </c>
      <c r="L66" t="s">
        <v>43</v>
      </c>
      <c r="M66" s="5">
        <v>4.5853534681946497</v>
      </c>
      <c r="N66" t="s">
        <v>39</v>
      </c>
      <c r="O66" t="s">
        <v>50</v>
      </c>
      <c r="P66">
        <v>17</v>
      </c>
      <c r="Q66">
        <v>328</v>
      </c>
      <c r="R66">
        <v>6</v>
      </c>
      <c r="S66" s="5">
        <v>8.6930424258772803</v>
      </c>
      <c r="T66" t="s">
        <v>46</v>
      </c>
      <c r="U66" s="4">
        <v>0.15948631471751401</v>
      </c>
      <c r="V66" t="s">
        <v>40</v>
      </c>
      <c r="W66" t="s">
        <v>41</v>
      </c>
      <c r="X66" s="5">
        <v>771.225084681157</v>
      </c>
    </row>
    <row r="67" spans="1:24" x14ac:dyDescent="0.25">
      <c r="A67" t="s">
        <v>201</v>
      </c>
      <c r="B67" t="s">
        <v>119</v>
      </c>
      <c r="C67" s="5">
        <v>33.697717206643098</v>
      </c>
      <c r="D67">
        <v>72</v>
      </c>
      <c r="E67">
        <v>457</v>
      </c>
      <c r="F67" s="5">
        <v>8354.5796864819895</v>
      </c>
      <c r="G67" t="s">
        <v>55</v>
      </c>
      <c r="H67">
        <v>57</v>
      </c>
      <c r="I67">
        <v>24</v>
      </c>
      <c r="J67">
        <v>54</v>
      </c>
      <c r="K67">
        <v>8</v>
      </c>
      <c r="L67" t="s">
        <v>43</v>
      </c>
      <c r="M67" s="5">
        <v>6.5805413478845898</v>
      </c>
      <c r="N67" t="s">
        <v>44</v>
      </c>
      <c r="O67" t="s">
        <v>45</v>
      </c>
      <c r="P67">
        <v>16</v>
      </c>
      <c r="Q67">
        <v>358</v>
      </c>
      <c r="R67">
        <v>21</v>
      </c>
      <c r="S67" s="5">
        <v>1.59722274305067</v>
      </c>
      <c r="T67" t="s">
        <v>46</v>
      </c>
      <c r="U67" s="4">
        <v>4.9110959548423301</v>
      </c>
      <c r="V67" t="s">
        <v>47</v>
      </c>
      <c r="W67" t="s">
        <v>41</v>
      </c>
      <c r="X67" s="5">
        <v>555.85910367174301</v>
      </c>
    </row>
    <row r="68" spans="1:24" x14ac:dyDescent="0.25">
      <c r="A68" t="s">
        <v>201</v>
      </c>
      <c r="B68" t="s">
        <v>120</v>
      </c>
      <c r="C68" s="5">
        <v>26.034869773962001</v>
      </c>
      <c r="D68">
        <v>52</v>
      </c>
      <c r="E68">
        <v>704</v>
      </c>
      <c r="F68" s="5">
        <v>8367.7216180201503</v>
      </c>
      <c r="G68" t="s">
        <v>35</v>
      </c>
      <c r="H68">
        <v>13</v>
      </c>
      <c r="I68">
        <v>17</v>
      </c>
      <c r="J68">
        <v>19</v>
      </c>
      <c r="K68">
        <v>8</v>
      </c>
      <c r="L68" t="s">
        <v>36</v>
      </c>
      <c r="M68" s="5">
        <v>2.2161427287713602</v>
      </c>
      <c r="N68" t="s">
        <v>44</v>
      </c>
      <c r="O68" t="s">
        <v>45</v>
      </c>
      <c r="P68">
        <v>24</v>
      </c>
      <c r="Q68">
        <v>867</v>
      </c>
      <c r="R68">
        <v>28</v>
      </c>
      <c r="S68" s="5">
        <v>42.084436738309897</v>
      </c>
      <c r="T68" t="s">
        <v>46</v>
      </c>
      <c r="U68" s="4">
        <v>3.44806328834026</v>
      </c>
      <c r="V68" t="s">
        <v>31</v>
      </c>
      <c r="W68" t="s">
        <v>48</v>
      </c>
      <c r="X68" s="5">
        <v>393.84334857842703</v>
      </c>
    </row>
    <row r="69" spans="1:24" x14ac:dyDescent="0.25">
      <c r="A69" t="s">
        <v>201</v>
      </c>
      <c r="B69" t="s">
        <v>121</v>
      </c>
      <c r="C69" s="5">
        <v>87.755432354001002</v>
      </c>
      <c r="D69">
        <v>16</v>
      </c>
      <c r="E69">
        <v>513</v>
      </c>
      <c r="F69" s="5">
        <v>9473.7980325083299</v>
      </c>
      <c r="G69" t="s">
        <v>38</v>
      </c>
      <c r="H69">
        <v>12</v>
      </c>
      <c r="I69">
        <v>9</v>
      </c>
      <c r="J69">
        <v>71</v>
      </c>
      <c r="K69">
        <v>9</v>
      </c>
      <c r="L69" t="s">
        <v>43</v>
      </c>
      <c r="M69" s="5">
        <v>9.1478115447106294</v>
      </c>
      <c r="N69" t="s">
        <v>39</v>
      </c>
      <c r="O69" t="s">
        <v>29</v>
      </c>
      <c r="P69">
        <v>10</v>
      </c>
      <c r="Q69">
        <v>198</v>
      </c>
      <c r="R69">
        <v>11</v>
      </c>
      <c r="S69" s="5">
        <v>7.0578761469782298</v>
      </c>
      <c r="T69" t="s">
        <v>64</v>
      </c>
      <c r="U69" s="4">
        <v>0.131955444311814</v>
      </c>
      <c r="V69" t="s">
        <v>56</v>
      </c>
      <c r="W69" t="s">
        <v>41</v>
      </c>
      <c r="X69" s="5">
        <v>169.27180138478599</v>
      </c>
    </row>
    <row r="70" spans="1:24" x14ac:dyDescent="0.25">
      <c r="A70" t="s">
        <v>200</v>
      </c>
      <c r="B70" t="s">
        <v>122</v>
      </c>
      <c r="C70" s="5">
        <v>37.931812382790298</v>
      </c>
      <c r="D70">
        <v>29</v>
      </c>
      <c r="E70">
        <v>163</v>
      </c>
      <c r="F70" s="5">
        <v>3550.21843278099</v>
      </c>
      <c r="G70" t="s">
        <v>26</v>
      </c>
      <c r="H70">
        <v>0</v>
      </c>
      <c r="I70">
        <v>8</v>
      </c>
      <c r="J70">
        <v>58</v>
      </c>
      <c r="K70">
        <v>8</v>
      </c>
      <c r="L70" t="s">
        <v>27</v>
      </c>
      <c r="M70" s="5">
        <v>1.19425186488499</v>
      </c>
      <c r="N70" t="s">
        <v>61</v>
      </c>
      <c r="O70" t="s">
        <v>53</v>
      </c>
      <c r="P70">
        <v>2</v>
      </c>
      <c r="Q70">
        <v>375</v>
      </c>
      <c r="R70">
        <v>18</v>
      </c>
      <c r="S70" s="5">
        <v>97.113581563462205</v>
      </c>
      <c r="T70" t="s">
        <v>46</v>
      </c>
      <c r="U70" s="4">
        <v>1.9834678721741801</v>
      </c>
      <c r="V70" t="s">
        <v>47</v>
      </c>
      <c r="W70" t="s">
        <v>48</v>
      </c>
      <c r="X70" s="5">
        <v>299.70630311810299</v>
      </c>
    </row>
    <row r="71" spans="1:24" x14ac:dyDescent="0.25">
      <c r="A71" t="s">
        <v>201</v>
      </c>
      <c r="B71" t="s">
        <v>123</v>
      </c>
      <c r="C71" s="5">
        <v>54.865528517069698</v>
      </c>
      <c r="D71">
        <v>62</v>
      </c>
      <c r="E71">
        <v>511</v>
      </c>
      <c r="F71" s="5">
        <v>1752.3810874841199</v>
      </c>
      <c r="G71" t="s">
        <v>26</v>
      </c>
      <c r="H71">
        <v>95</v>
      </c>
      <c r="I71">
        <v>1</v>
      </c>
      <c r="J71">
        <v>27</v>
      </c>
      <c r="K71">
        <v>3</v>
      </c>
      <c r="L71" t="s">
        <v>27</v>
      </c>
      <c r="M71" s="5">
        <v>9.7052867901203399</v>
      </c>
      <c r="N71" t="s">
        <v>52</v>
      </c>
      <c r="O71" t="s">
        <v>45</v>
      </c>
      <c r="P71">
        <v>9</v>
      </c>
      <c r="Q71">
        <v>862</v>
      </c>
      <c r="R71">
        <v>7</v>
      </c>
      <c r="S71" s="5">
        <v>77.627765812748095</v>
      </c>
      <c r="T71" t="s">
        <v>30</v>
      </c>
      <c r="U71" s="4">
        <v>1.3623879886490999</v>
      </c>
      <c r="V71" t="s">
        <v>40</v>
      </c>
      <c r="W71" t="s">
        <v>48</v>
      </c>
      <c r="X71" s="5">
        <v>207.66320620857499</v>
      </c>
    </row>
    <row r="72" spans="1:24" x14ac:dyDescent="0.25">
      <c r="A72" t="s">
        <v>200</v>
      </c>
      <c r="B72" t="s">
        <v>124</v>
      </c>
      <c r="C72" s="5">
        <v>47.914541824058702</v>
      </c>
      <c r="D72">
        <v>90</v>
      </c>
      <c r="E72">
        <v>32</v>
      </c>
      <c r="F72" s="5">
        <v>7014.8879872033804</v>
      </c>
      <c r="G72" t="s">
        <v>35</v>
      </c>
      <c r="H72">
        <v>10</v>
      </c>
      <c r="I72">
        <v>12</v>
      </c>
      <c r="J72">
        <v>22</v>
      </c>
      <c r="K72">
        <v>4</v>
      </c>
      <c r="L72" t="s">
        <v>27</v>
      </c>
      <c r="M72" s="5">
        <v>6.3157177546007199</v>
      </c>
      <c r="N72" t="s">
        <v>39</v>
      </c>
      <c r="O72" t="s">
        <v>53</v>
      </c>
      <c r="P72">
        <v>22</v>
      </c>
      <c r="Q72">
        <v>775</v>
      </c>
      <c r="R72">
        <v>16</v>
      </c>
      <c r="S72" s="5">
        <v>11.440781823761199</v>
      </c>
      <c r="T72" t="s">
        <v>64</v>
      </c>
      <c r="U72" s="4">
        <v>1.8305755986122301</v>
      </c>
      <c r="V72" t="s">
        <v>31</v>
      </c>
      <c r="W72" t="s">
        <v>41</v>
      </c>
      <c r="X72" s="5">
        <v>183.27289874871099</v>
      </c>
    </row>
    <row r="73" spans="1:24" x14ac:dyDescent="0.25">
      <c r="A73" t="s">
        <v>199</v>
      </c>
      <c r="B73" t="s">
        <v>125</v>
      </c>
      <c r="C73" s="5">
        <v>6.3815331627479601</v>
      </c>
      <c r="D73">
        <v>14</v>
      </c>
      <c r="E73">
        <v>637</v>
      </c>
      <c r="F73" s="5">
        <v>8180.3370854254399</v>
      </c>
      <c r="G73" t="s">
        <v>35</v>
      </c>
      <c r="H73">
        <v>76</v>
      </c>
      <c r="I73">
        <v>2</v>
      </c>
      <c r="J73">
        <v>26</v>
      </c>
      <c r="K73">
        <v>6</v>
      </c>
      <c r="L73" t="s">
        <v>36</v>
      </c>
      <c r="M73" s="5">
        <v>9.2281903170525101</v>
      </c>
      <c r="N73" t="s">
        <v>61</v>
      </c>
      <c r="O73" t="s">
        <v>53</v>
      </c>
      <c r="P73">
        <v>2</v>
      </c>
      <c r="Q73">
        <v>258</v>
      </c>
      <c r="R73">
        <v>10</v>
      </c>
      <c r="S73" s="5">
        <v>30.661677477859499</v>
      </c>
      <c r="T73" t="s">
        <v>30</v>
      </c>
      <c r="U73" s="4">
        <v>2.07875060787496</v>
      </c>
      <c r="V73" t="s">
        <v>31</v>
      </c>
      <c r="W73" t="s">
        <v>48</v>
      </c>
      <c r="X73" s="5">
        <v>405.167067888855</v>
      </c>
    </row>
    <row r="74" spans="1:24" x14ac:dyDescent="0.25">
      <c r="A74" t="s">
        <v>199</v>
      </c>
      <c r="B74" t="s">
        <v>126</v>
      </c>
      <c r="C74" s="5">
        <v>90.204427520528</v>
      </c>
      <c r="D74">
        <v>88</v>
      </c>
      <c r="E74">
        <v>478</v>
      </c>
      <c r="F74" s="5">
        <v>2633.1219813122498</v>
      </c>
      <c r="G74" t="s">
        <v>26</v>
      </c>
      <c r="H74">
        <v>57</v>
      </c>
      <c r="I74">
        <v>29</v>
      </c>
      <c r="J74">
        <v>77</v>
      </c>
      <c r="K74">
        <v>9</v>
      </c>
      <c r="L74" t="s">
        <v>36</v>
      </c>
      <c r="M74" s="5">
        <v>6.5996141596895397</v>
      </c>
      <c r="N74" t="s">
        <v>39</v>
      </c>
      <c r="O74" t="s">
        <v>53</v>
      </c>
      <c r="P74">
        <v>21</v>
      </c>
      <c r="Q74">
        <v>152</v>
      </c>
      <c r="R74">
        <v>11</v>
      </c>
      <c r="S74" s="5">
        <v>55.760492895244198</v>
      </c>
      <c r="T74" t="s">
        <v>30</v>
      </c>
      <c r="U74" s="4">
        <v>3.2133296074383</v>
      </c>
      <c r="V74" t="s">
        <v>47</v>
      </c>
      <c r="W74" t="s">
        <v>32</v>
      </c>
      <c r="X74" s="5">
        <v>677.94456984618296</v>
      </c>
    </row>
    <row r="75" spans="1:24" x14ac:dyDescent="0.25">
      <c r="A75" t="s">
        <v>199</v>
      </c>
      <c r="B75" t="s">
        <v>127</v>
      </c>
      <c r="C75" s="5">
        <v>83.851017681304597</v>
      </c>
      <c r="D75">
        <v>41</v>
      </c>
      <c r="E75">
        <v>375</v>
      </c>
      <c r="F75" s="5">
        <v>7910.8869161406801</v>
      </c>
      <c r="G75" t="s">
        <v>55</v>
      </c>
      <c r="H75">
        <v>17</v>
      </c>
      <c r="I75">
        <v>25</v>
      </c>
      <c r="J75">
        <v>66</v>
      </c>
      <c r="K75">
        <v>5</v>
      </c>
      <c r="L75" t="s">
        <v>27</v>
      </c>
      <c r="M75" s="5">
        <v>1.5129368369160701</v>
      </c>
      <c r="N75" t="s">
        <v>52</v>
      </c>
      <c r="O75" t="s">
        <v>62</v>
      </c>
      <c r="P75">
        <v>13</v>
      </c>
      <c r="Q75">
        <v>444</v>
      </c>
      <c r="R75">
        <v>4</v>
      </c>
      <c r="S75" s="5">
        <v>46.870238797617098</v>
      </c>
      <c r="T75" t="s">
        <v>46</v>
      </c>
      <c r="U75" s="4">
        <v>4.6205460645137002</v>
      </c>
      <c r="V75" t="s">
        <v>31</v>
      </c>
      <c r="W75" t="s">
        <v>48</v>
      </c>
      <c r="X75" s="5">
        <v>866.472800129657</v>
      </c>
    </row>
    <row r="76" spans="1:24" x14ac:dyDescent="0.25">
      <c r="A76" t="s">
        <v>200</v>
      </c>
      <c r="B76" t="s">
        <v>128</v>
      </c>
      <c r="C76" s="5">
        <v>3.1700114135661499</v>
      </c>
      <c r="D76">
        <v>64</v>
      </c>
      <c r="E76">
        <v>904</v>
      </c>
      <c r="F76" s="5">
        <v>5709.9452959692799</v>
      </c>
      <c r="G76" t="s">
        <v>35</v>
      </c>
      <c r="H76">
        <v>41</v>
      </c>
      <c r="I76">
        <v>6</v>
      </c>
      <c r="J76">
        <v>1</v>
      </c>
      <c r="K76">
        <v>5</v>
      </c>
      <c r="L76" t="s">
        <v>36</v>
      </c>
      <c r="M76" s="5">
        <v>5.2376546500374399</v>
      </c>
      <c r="N76" t="s">
        <v>52</v>
      </c>
      <c r="O76" t="s">
        <v>50</v>
      </c>
      <c r="P76">
        <v>1</v>
      </c>
      <c r="Q76">
        <v>919</v>
      </c>
      <c r="R76">
        <v>9</v>
      </c>
      <c r="S76" s="5">
        <v>80.580852156447804</v>
      </c>
      <c r="T76" t="s">
        <v>46</v>
      </c>
      <c r="U76" s="4">
        <v>0.39661272410993498</v>
      </c>
      <c r="V76" t="s">
        <v>47</v>
      </c>
      <c r="W76" t="s">
        <v>48</v>
      </c>
      <c r="X76" s="5">
        <v>341.55265678322297</v>
      </c>
    </row>
    <row r="77" spans="1:24" x14ac:dyDescent="0.25">
      <c r="A77" t="s">
        <v>201</v>
      </c>
      <c r="B77" t="s">
        <v>129</v>
      </c>
      <c r="C77" s="5">
        <v>92.996884233970604</v>
      </c>
      <c r="D77">
        <v>29</v>
      </c>
      <c r="E77">
        <v>106</v>
      </c>
      <c r="F77" s="5">
        <v>1889.07358977933</v>
      </c>
      <c r="G77" t="s">
        <v>26</v>
      </c>
      <c r="H77">
        <v>16</v>
      </c>
      <c r="I77">
        <v>20</v>
      </c>
      <c r="J77">
        <v>56</v>
      </c>
      <c r="K77">
        <v>10</v>
      </c>
      <c r="L77" t="s">
        <v>43</v>
      </c>
      <c r="M77" s="5">
        <v>2.47389776104546</v>
      </c>
      <c r="N77" t="s">
        <v>39</v>
      </c>
      <c r="O77" t="s">
        <v>62</v>
      </c>
      <c r="P77">
        <v>25</v>
      </c>
      <c r="Q77">
        <v>759</v>
      </c>
      <c r="R77">
        <v>11</v>
      </c>
      <c r="S77" s="5">
        <v>48.064782640006499</v>
      </c>
      <c r="T77" t="s">
        <v>64</v>
      </c>
      <c r="U77" s="4">
        <v>2.0300690886687498</v>
      </c>
      <c r="V77" t="s">
        <v>40</v>
      </c>
      <c r="W77" t="s">
        <v>41</v>
      </c>
      <c r="X77" s="5">
        <v>873.12964801765099</v>
      </c>
    </row>
    <row r="78" spans="1:24" x14ac:dyDescent="0.25">
      <c r="A78" t="s">
        <v>200</v>
      </c>
      <c r="B78" t="s">
        <v>130</v>
      </c>
      <c r="C78" s="5">
        <v>69.108799547430294</v>
      </c>
      <c r="D78">
        <v>23</v>
      </c>
      <c r="E78">
        <v>241</v>
      </c>
      <c r="F78" s="5">
        <v>5328.3759842977497</v>
      </c>
      <c r="G78" t="s">
        <v>55</v>
      </c>
      <c r="H78">
        <v>38</v>
      </c>
      <c r="I78">
        <v>1</v>
      </c>
      <c r="J78">
        <v>22</v>
      </c>
      <c r="K78">
        <v>10</v>
      </c>
      <c r="L78" t="s">
        <v>36</v>
      </c>
      <c r="M78" s="5">
        <v>7.0545383368369201</v>
      </c>
      <c r="N78" t="s">
        <v>61</v>
      </c>
      <c r="O78" t="s">
        <v>53</v>
      </c>
      <c r="P78">
        <v>25</v>
      </c>
      <c r="Q78">
        <v>985</v>
      </c>
      <c r="R78">
        <v>24</v>
      </c>
      <c r="S78" s="5">
        <v>64.323597795600193</v>
      </c>
      <c r="T78" t="s">
        <v>30</v>
      </c>
      <c r="U78" s="4">
        <v>2.1800374515822099</v>
      </c>
      <c r="V78" t="s">
        <v>47</v>
      </c>
      <c r="W78" t="s">
        <v>48</v>
      </c>
      <c r="X78" s="5">
        <v>997.41345013319403</v>
      </c>
    </row>
    <row r="79" spans="1:24" x14ac:dyDescent="0.25">
      <c r="A79" t="s">
        <v>200</v>
      </c>
      <c r="B79" t="s">
        <v>131</v>
      </c>
      <c r="C79" s="5">
        <v>57.449742958971399</v>
      </c>
      <c r="D79">
        <v>14</v>
      </c>
      <c r="E79">
        <v>359</v>
      </c>
      <c r="F79" s="5">
        <v>2483.7601775427902</v>
      </c>
      <c r="G79" t="s">
        <v>38</v>
      </c>
      <c r="H79">
        <v>96</v>
      </c>
      <c r="I79">
        <v>28</v>
      </c>
      <c r="J79">
        <v>57</v>
      </c>
      <c r="K79">
        <v>4</v>
      </c>
      <c r="L79" t="s">
        <v>27</v>
      </c>
      <c r="M79" s="5">
        <v>6.7809466256178901</v>
      </c>
      <c r="N79" t="s">
        <v>39</v>
      </c>
      <c r="O79" t="s">
        <v>45</v>
      </c>
      <c r="P79">
        <v>26</v>
      </c>
      <c r="Q79">
        <v>334</v>
      </c>
      <c r="R79">
        <v>5</v>
      </c>
      <c r="S79" s="5">
        <v>42.952444748991802</v>
      </c>
      <c r="T79" t="s">
        <v>64</v>
      </c>
      <c r="U79" s="4">
        <v>3.0551418183075398</v>
      </c>
      <c r="V79" t="s">
        <v>31</v>
      </c>
      <c r="W79" t="s">
        <v>32</v>
      </c>
      <c r="X79" s="5">
        <v>852.56809891984994</v>
      </c>
    </row>
    <row r="80" spans="1:24" x14ac:dyDescent="0.25">
      <c r="A80" t="s">
        <v>200</v>
      </c>
      <c r="B80" t="s">
        <v>132</v>
      </c>
      <c r="C80" s="5">
        <v>6.30688317611191</v>
      </c>
      <c r="D80">
        <v>50</v>
      </c>
      <c r="E80">
        <v>946</v>
      </c>
      <c r="F80" s="5">
        <v>1292.45841793775</v>
      </c>
      <c r="G80" t="s">
        <v>38</v>
      </c>
      <c r="H80">
        <v>5</v>
      </c>
      <c r="I80">
        <v>4</v>
      </c>
      <c r="J80">
        <v>51</v>
      </c>
      <c r="K80">
        <v>5</v>
      </c>
      <c r="L80" t="s">
        <v>27</v>
      </c>
      <c r="M80" s="5">
        <v>8.4670497708619905</v>
      </c>
      <c r="N80" t="s">
        <v>44</v>
      </c>
      <c r="O80" t="s">
        <v>29</v>
      </c>
      <c r="P80">
        <v>25</v>
      </c>
      <c r="Q80">
        <v>858</v>
      </c>
      <c r="R80">
        <v>21</v>
      </c>
      <c r="S80" s="5">
        <v>71.126514720403307</v>
      </c>
      <c r="T80" t="s">
        <v>30</v>
      </c>
      <c r="U80" s="4">
        <v>4.0968813324704501</v>
      </c>
      <c r="V80" t="s">
        <v>56</v>
      </c>
      <c r="W80" t="s">
        <v>41</v>
      </c>
      <c r="X80" s="5">
        <v>323.59220343132199</v>
      </c>
    </row>
    <row r="81" spans="1:24" x14ac:dyDescent="0.25">
      <c r="A81" t="s">
        <v>200</v>
      </c>
      <c r="B81" t="s">
        <v>133</v>
      </c>
      <c r="C81" s="5">
        <v>57.057031221103202</v>
      </c>
      <c r="D81">
        <v>56</v>
      </c>
      <c r="E81">
        <v>198</v>
      </c>
      <c r="F81" s="5">
        <v>7888.7232684270803</v>
      </c>
      <c r="G81" t="s">
        <v>26</v>
      </c>
      <c r="H81">
        <v>31</v>
      </c>
      <c r="I81">
        <v>25</v>
      </c>
      <c r="J81">
        <v>20</v>
      </c>
      <c r="K81">
        <v>1</v>
      </c>
      <c r="L81" t="s">
        <v>27</v>
      </c>
      <c r="M81" s="5">
        <v>6.49632536429504</v>
      </c>
      <c r="N81" t="s">
        <v>28</v>
      </c>
      <c r="O81" t="s">
        <v>53</v>
      </c>
      <c r="P81">
        <v>5</v>
      </c>
      <c r="Q81">
        <v>228</v>
      </c>
      <c r="R81">
        <v>12</v>
      </c>
      <c r="S81" s="5">
        <v>57.870902924036201</v>
      </c>
      <c r="T81" t="s">
        <v>30</v>
      </c>
      <c r="U81" s="4">
        <v>0.16587162748060799</v>
      </c>
      <c r="V81" t="s">
        <v>40</v>
      </c>
      <c r="W81" t="s">
        <v>41</v>
      </c>
      <c r="X81" s="5">
        <v>351.50421933503799</v>
      </c>
    </row>
    <row r="82" spans="1:24" x14ac:dyDescent="0.25">
      <c r="A82" t="s">
        <v>201</v>
      </c>
      <c r="B82" t="s">
        <v>134</v>
      </c>
      <c r="C82" s="5">
        <v>91.128318350444303</v>
      </c>
      <c r="D82">
        <v>75</v>
      </c>
      <c r="E82">
        <v>872</v>
      </c>
      <c r="F82" s="5">
        <v>8651.67268298206</v>
      </c>
      <c r="G82" t="s">
        <v>38</v>
      </c>
      <c r="H82">
        <v>39</v>
      </c>
      <c r="I82">
        <v>14</v>
      </c>
      <c r="J82">
        <v>41</v>
      </c>
      <c r="K82">
        <v>2</v>
      </c>
      <c r="L82" t="s">
        <v>43</v>
      </c>
      <c r="M82" s="5">
        <v>2.8331846794189701</v>
      </c>
      <c r="N82" t="s">
        <v>28</v>
      </c>
      <c r="O82" t="s">
        <v>62</v>
      </c>
      <c r="P82">
        <v>8</v>
      </c>
      <c r="Q82">
        <v>202</v>
      </c>
      <c r="R82">
        <v>5</v>
      </c>
      <c r="S82" s="5">
        <v>76.961228023819999</v>
      </c>
      <c r="T82" t="s">
        <v>46</v>
      </c>
      <c r="U82" s="4">
        <v>2.8496621985053299</v>
      </c>
      <c r="V82" t="s">
        <v>56</v>
      </c>
      <c r="W82" t="s">
        <v>32</v>
      </c>
      <c r="X82" s="5">
        <v>787.77985049434403</v>
      </c>
    </row>
    <row r="83" spans="1:24" x14ac:dyDescent="0.25">
      <c r="A83" t="s">
        <v>200</v>
      </c>
      <c r="B83" t="s">
        <v>135</v>
      </c>
      <c r="C83" s="5">
        <v>72.819206930318202</v>
      </c>
      <c r="D83">
        <v>9</v>
      </c>
      <c r="E83">
        <v>774</v>
      </c>
      <c r="F83" s="5">
        <v>4384.4134000458598</v>
      </c>
      <c r="G83" t="s">
        <v>38</v>
      </c>
      <c r="H83">
        <v>48</v>
      </c>
      <c r="I83">
        <v>6</v>
      </c>
      <c r="J83">
        <v>8</v>
      </c>
      <c r="K83">
        <v>5</v>
      </c>
      <c r="L83" t="s">
        <v>27</v>
      </c>
      <c r="M83" s="5">
        <v>4.0662775015120403</v>
      </c>
      <c r="N83" t="s">
        <v>28</v>
      </c>
      <c r="O83" t="s">
        <v>50</v>
      </c>
      <c r="P83">
        <v>28</v>
      </c>
      <c r="Q83">
        <v>698</v>
      </c>
      <c r="R83">
        <v>1</v>
      </c>
      <c r="S83" s="5">
        <v>19.789592941903599</v>
      </c>
      <c r="T83" t="s">
        <v>30</v>
      </c>
      <c r="U83" s="4">
        <v>2.54754712154871</v>
      </c>
      <c r="V83" t="s">
        <v>47</v>
      </c>
      <c r="W83" t="s">
        <v>32</v>
      </c>
      <c r="X83" s="5">
        <v>276.77833594679799</v>
      </c>
    </row>
    <row r="84" spans="1:24" x14ac:dyDescent="0.25">
      <c r="A84" t="s">
        <v>201</v>
      </c>
      <c r="B84" t="s">
        <v>136</v>
      </c>
      <c r="C84" s="5">
        <v>17.034930739467899</v>
      </c>
      <c r="D84">
        <v>13</v>
      </c>
      <c r="E84">
        <v>336</v>
      </c>
      <c r="F84" s="5">
        <v>2943.3818676094502</v>
      </c>
      <c r="G84" t="s">
        <v>38</v>
      </c>
      <c r="H84">
        <v>42</v>
      </c>
      <c r="I84">
        <v>19</v>
      </c>
      <c r="J84">
        <v>72</v>
      </c>
      <c r="K84">
        <v>1</v>
      </c>
      <c r="L84" t="s">
        <v>36</v>
      </c>
      <c r="M84" s="5">
        <v>4.7081818735419301</v>
      </c>
      <c r="N84" t="s">
        <v>61</v>
      </c>
      <c r="O84" t="s">
        <v>29</v>
      </c>
      <c r="P84">
        <v>6</v>
      </c>
      <c r="Q84">
        <v>955</v>
      </c>
      <c r="R84">
        <v>26</v>
      </c>
      <c r="S84" s="5">
        <v>4.4652784349432402</v>
      </c>
      <c r="T84" t="s">
        <v>30</v>
      </c>
      <c r="U84" s="4">
        <v>4.1378770486223502</v>
      </c>
      <c r="V84" t="s">
        <v>31</v>
      </c>
      <c r="W84" t="s">
        <v>41</v>
      </c>
      <c r="X84" s="5">
        <v>589.97855562804</v>
      </c>
    </row>
    <row r="85" spans="1:24" x14ac:dyDescent="0.25">
      <c r="A85" t="s">
        <v>200</v>
      </c>
      <c r="B85" t="s">
        <v>137</v>
      </c>
      <c r="C85" s="5">
        <v>68.911246211606297</v>
      </c>
      <c r="D85">
        <v>82</v>
      </c>
      <c r="E85">
        <v>663</v>
      </c>
      <c r="F85" s="5">
        <v>2411.7546321104901</v>
      </c>
      <c r="G85" t="s">
        <v>38</v>
      </c>
      <c r="H85">
        <v>65</v>
      </c>
      <c r="I85">
        <v>24</v>
      </c>
      <c r="J85">
        <v>7</v>
      </c>
      <c r="K85">
        <v>8</v>
      </c>
      <c r="L85" t="s">
        <v>27</v>
      </c>
      <c r="M85" s="5">
        <v>4.94983957799694</v>
      </c>
      <c r="N85" t="s">
        <v>39</v>
      </c>
      <c r="O85" t="s">
        <v>53</v>
      </c>
      <c r="P85">
        <v>20</v>
      </c>
      <c r="Q85">
        <v>443</v>
      </c>
      <c r="R85">
        <v>5</v>
      </c>
      <c r="S85" s="5">
        <v>97.730593800533001</v>
      </c>
      <c r="T85" t="s">
        <v>46</v>
      </c>
      <c r="U85" s="4">
        <v>0.77300613406724705</v>
      </c>
      <c r="V85" t="s">
        <v>31</v>
      </c>
      <c r="W85" t="s">
        <v>48</v>
      </c>
      <c r="X85" s="5">
        <v>682.97101822609295</v>
      </c>
    </row>
    <row r="86" spans="1:24" x14ac:dyDescent="0.25">
      <c r="A86" t="s">
        <v>200</v>
      </c>
      <c r="B86" t="s">
        <v>138</v>
      </c>
      <c r="C86" s="5">
        <v>89.104367292102197</v>
      </c>
      <c r="D86">
        <v>99</v>
      </c>
      <c r="E86">
        <v>618</v>
      </c>
      <c r="F86" s="5">
        <v>2048.2900998487098</v>
      </c>
      <c r="G86" t="s">
        <v>38</v>
      </c>
      <c r="H86">
        <v>73</v>
      </c>
      <c r="I86">
        <v>26</v>
      </c>
      <c r="J86">
        <v>80</v>
      </c>
      <c r="K86">
        <v>10</v>
      </c>
      <c r="L86" t="s">
        <v>36</v>
      </c>
      <c r="M86" s="5">
        <v>8.3816156249226292</v>
      </c>
      <c r="N86" t="s">
        <v>44</v>
      </c>
      <c r="O86" t="s">
        <v>62</v>
      </c>
      <c r="P86">
        <v>24</v>
      </c>
      <c r="Q86">
        <v>589</v>
      </c>
      <c r="R86">
        <v>22</v>
      </c>
      <c r="S86" s="5">
        <v>33.808636513209002</v>
      </c>
      <c r="T86" t="s">
        <v>64</v>
      </c>
      <c r="U86" s="4">
        <v>4.8434565771180402</v>
      </c>
      <c r="V86" t="s">
        <v>40</v>
      </c>
      <c r="W86" t="s">
        <v>32</v>
      </c>
      <c r="X86" s="5">
        <v>465.45700596368698</v>
      </c>
    </row>
    <row r="87" spans="1:24" x14ac:dyDescent="0.25">
      <c r="A87" t="s">
        <v>199</v>
      </c>
      <c r="B87" t="s">
        <v>139</v>
      </c>
      <c r="C87" s="5">
        <v>76.962994415193805</v>
      </c>
      <c r="D87">
        <v>83</v>
      </c>
      <c r="E87">
        <v>25</v>
      </c>
      <c r="F87" s="5">
        <v>8684.6130592538502</v>
      </c>
      <c r="G87" t="s">
        <v>35</v>
      </c>
      <c r="H87">
        <v>15</v>
      </c>
      <c r="I87">
        <v>18</v>
      </c>
      <c r="J87">
        <v>66</v>
      </c>
      <c r="K87">
        <v>2</v>
      </c>
      <c r="L87" t="s">
        <v>43</v>
      </c>
      <c r="M87" s="5">
        <v>8.2491687048717193</v>
      </c>
      <c r="N87" t="s">
        <v>44</v>
      </c>
      <c r="O87" t="s">
        <v>62</v>
      </c>
      <c r="P87">
        <v>4</v>
      </c>
      <c r="Q87">
        <v>211</v>
      </c>
      <c r="R87">
        <v>2</v>
      </c>
      <c r="S87" s="5">
        <v>69.929345518672307</v>
      </c>
      <c r="T87" t="s">
        <v>46</v>
      </c>
      <c r="U87" s="4">
        <v>1.3744289997457499</v>
      </c>
      <c r="V87" t="s">
        <v>31</v>
      </c>
      <c r="W87" t="s">
        <v>32</v>
      </c>
      <c r="X87" s="5">
        <v>842.68683000464102</v>
      </c>
    </row>
    <row r="88" spans="1:24" x14ac:dyDescent="0.25">
      <c r="A88" t="s">
        <v>201</v>
      </c>
      <c r="B88" t="s">
        <v>140</v>
      </c>
      <c r="C88" s="5">
        <v>19.9981769404042</v>
      </c>
      <c r="D88">
        <v>18</v>
      </c>
      <c r="E88">
        <v>223</v>
      </c>
      <c r="F88" s="5">
        <v>1229.59102856498</v>
      </c>
      <c r="G88" t="s">
        <v>38</v>
      </c>
      <c r="H88">
        <v>32</v>
      </c>
      <c r="I88">
        <v>14</v>
      </c>
      <c r="J88">
        <v>22</v>
      </c>
      <c r="K88">
        <v>6</v>
      </c>
      <c r="L88" t="s">
        <v>27</v>
      </c>
      <c r="M88" s="5">
        <v>1.4543053101535499</v>
      </c>
      <c r="N88" t="s">
        <v>39</v>
      </c>
      <c r="O88" t="s">
        <v>29</v>
      </c>
      <c r="P88">
        <v>4</v>
      </c>
      <c r="Q88">
        <v>569</v>
      </c>
      <c r="R88">
        <v>18</v>
      </c>
      <c r="S88" s="5">
        <v>74.608969995194599</v>
      </c>
      <c r="T88" t="s">
        <v>64</v>
      </c>
      <c r="U88" s="4">
        <v>2.0515129307662399</v>
      </c>
      <c r="V88" t="s">
        <v>47</v>
      </c>
      <c r="W88" t="s">
        <v>48</v>
      </c>
      <c r="X88" s="5">
        <v>264.25488983586598</v>
      </c>
    </row>
    <row r="89" spans="1:24" x14ac:dyDescent="0.25">
      <c r="A89" t="s">
        <v>200</v>
      </c>
      <c r="B89" t="s">
        <v>141</v>
      </c>
      <c r="C89" s="5">
        <v>80.414036650355698</v>
      </c>
      <c r="D89">
        <v>24</v>
      </c>
      <c r="E89">
        <v>79</v>
      </c>
      <c r="F89" s="5">
        <v>5133.8467010866898</v>
      </c>
      <c r="G89" t="s">
        <v>55</v>
      </c>
      <c r="H89">
        <v>5</v>
      </c>
      <c r="I89">
        <v>7</v>
      </c>
      <c r="J89">
        <v>55</v>
      </c>
      <c r="K89">
        <v>10</v>
      </c>
      <c r="L89" t="s">
        <v>36</v>
      </c>
      <c r="M89" s="5">
        <v>6.5758037975485299</v>
      </c>
      <c r="N89" t="s">
        <v>28</v>
      </c>
      <c r="O89" t="s">
        <v>62</v>
      </c>
      <c r="P89">
        <v>27</v>
      </c>
      <c r="Q89">
        <v>523</v>
      </c>
      <c r="R89">
        <v>17</v>
      </c>
      <c r="S89" s="5">
        <v>28.696996824143099</v>
      </c>
      <c r="T89" t="s">
        <v>46</v>
      </c>
      <c r="U89" s="4">
        <v>3.6937377878392699</v>
      </c>
      <c r="V89" t="s">
        <v>56</v>
      </c>
      <c r="W89" t="s">
        <v>32</v>
      </c>
      <c r="X89" s="5">
        <v>879.35921773492396</v>
      </c>
    </row>
    <row r="90" spans="1:24" x14ac:dyDescent="0.25">
      <c r="A90" t="s">
        <v>199</v>
      </c>
      <c r="B90" t="s">
        <v>142</v>
      </c>
      <c r="C90" s="5">
        <v>75.270406975724995</v>
      </c>
      <c r="D90">
        <v>58</v>
      </c>
      <c r="E90">
        <v>737</v>
      </c>
      <c r="F90" s="5">
        <v>9444.7420330629793</v>
      </c>
      <c r="G90" t="s">
        <v>55</v>
      </c>
      <c r="H90">
        <v>60</v>
      </c>
      <c r="I90">
        <v>18</v>
      </c>
      <c r="J90">
        <v>85</v>
      </c>
      <c r="K90">
        <v>7</v>
      </c>
      <c r="L90" t="s">
        <v>36</v>
      </c>
      <c r="M90" s="5">
        <v>3.8012531329310701</v>
      </c>
      <c r="N90" t="s">
        <v>61</v>
      </c>
      <c r="O90" t="s">
        <v>29</v>
      </c>
      <c r="P90">
        <v>21</v>
      </c>
      <c r="Q90">
        <v>953</v>
      </c>
      <c r="R90">
        <v>11</v>
      </c>
      <c r="S90" s="5">
        <v>68.1849190570411</v>
      </c>
      <c r="T90" t="s">
        <v>30</v>
      </c>
      <c r="U90" s="4">
        <v>0.722204401882931</v>
      </c>
      <c r="V90" t="s">
        <v>56</v>
      </c>
      <c r="W90" t="s">
        <v>48</v>
      </c>
      <c r="X90" s="5">
        <v>103.916247960704</v>
      </c>
    </row>
    <row r="91" spans="1:24" x14ac:dyDescent="0.25">
      <c r="A91" t="s">
        <v>199</v>
      </c>
      <c r="B91" t="s">
        <v>143</v>
      </c>
      <c r="C91" s="5">
        <v>97.760085581938597</v>
      </c>
      <c r="D91">
        <v>10</v>
      </c>
      <c r="E91">
        <v>134</v>
      </c>
      <c r="F91" s="5">
        <v>5924.6825668532301</v>
      </c>
      <c r="G91" t="s">
        <v>38</v>
      </c>
      <c r="H91">
        <v>90</v>
      </c>
      <c r="I91">
        <v>1</v>
      </c>
      <c r="J91">
        <v>27</v>
      </c>
      <c r="K91">
        <v>8</v>
      </c>
      <c r="L91" t="s">
        <v>27</v>
      </c>
      <c r="M91" s="5">
        <v>9.9298162452772498</v>
      </c>
      <c r="N91" t="s">
        <v>39</v>
      </c>
      <c r="O91" t="s">
        <v>45</v>
      </c>
      <c r="P91">
        <v>23</v>
      </c>
      <c r="Q91">
        <v>370</v>
      </c>
      <c r="R91">
        <v>11</v>
      </c>
      <c r="S91" s="5">
        <v>46.603873381644398</v>
      </c>
      <c r="T91" t="s">
        <v>30</v>
      </c>
      <c r="U91" s="4">
        <v>1.9076657339590699</v>
      </c>
      <c r="V91" t="s">
        <v>47</v>
      </c>
      <c r="W91" t="s">
        <v>32</v>
      </c>
      <c r="X91" s="5">
        <v>517.49997392906005</v>
      </c>
    </row>
    <row r="92" spans="1:24" x14ac:dyDescent="0.25">
      <c r="A92" t="s">
        <v>201</v>
      </c>
      <c r="B92" t="s">
        <v>144</v>
      </c>
      <c r="C92" s="5">
        <v>13.881913501359101</v>
      </c>
      <c r="D92">
        <v>56</v>
      </c>
      <c r="E92">
        <v>320</v>
      </c>
      <c r="F92" s="5">
        <v>9592.6335702803099</v>
      </c>
      <c r="G92" t="s">
        <v>26</v>
      </c>
      <c r="H92">
        <v>66</v>
      </c>
      <c r="I92">
        <v>18</v>
      </c>
      <c r="J92">
        <v>96</v>
      </c>
      <c r="K92">
        <v>7</v>
      </c>
      <c r="L92" t="s">
        <v>27</v>
      </c>
      <c r="M92" s="5">
        <v>7.6744307081126903</v>
      </c>
      <c r="N92" t="s">
        <v>28</v>
      </c>
      <c r="O92" t="s">
        <v>53</v>
      </c>
      <c r="P92">
        <v>8</v>
      </c>
      <c r="Q92">
        <v>585</v>
      </c>
      <c r="R92">
        <v>8</v>
      </c>
      <c r="S92" s="5">
        <v>85.675963335797903</v>
      </c>
      <c r="T92" t="s">
        <v>64</v>
      </c>
      <c r="U92" s="4">
        <v>1.2193822244013801</v>
      </c>
      <c r="V92" t="s">
        <v>47</v>
      </c>
      <c r="W92" t="s">
        <v>32</v>
      </c>
      <c r="X92" s="5">
        <v>990.07847250581096</v>
      </c>
    </row>
    <row r="93" spans="1:24" x14ac:dyDescent="0.25">
      <c r="A93" t="s">
        <v>199</v>
      </c>
      <c r="B93" t="s">
        <v>145</v>
      </c>
      <c r="C93" s="5">
        <v>62.111965463961702</v>
      </c>
      <c r="D93">
        <v>90</v>
      </c>
      <c r="E93">
        <v>916</v>
      </c>
      <c r="F93" s="5">
        <v>1935.20679350759</v>
      </c>
      <c r="G93" t="s">
        <v>55</v>
      </c>
      <c r="H93">
        <v>98</v>
      </c>
      <c r="I93">
        <v>22</v>
      </c>
      <c r="J93">
        <v>85</v>
      </c>
      <c r="K93">
        <v>7</v>
      </c>
      <c r="L93" t="s">
        <v>27</v>
      </c>
      <c r="M93" s="5">
        <v>7.4715140844011403</v>
      </c>
      <c r="N93" t="s">
        <v>52</v>
      </c>
      <c r="O93" t="s">
        <v>50</v>
      </c>
      <c r="P93">
        <v>5</v>
      </c>
      <c r="Q93">
        <v>207</v>
      </c>
      <c r="R93">
        <v>28</v>
      </c>
      <c r="S93" s="5">
        <v>39.772882502339897</v>
      </c>
      <c r="T93" t="s">
        <v>30</v>
      </c>
      <c r="U93" s="4">
        <v>0.62600185820939402</v>
      </c>
      <c r="V93" t="s">
        <v>47</v>
      </c>
      <c r="W93" t="s">
        <v>32</v>
      </c>
      <c r="X93" s="5">
        <v>996.77831495062298</v>
      </c>
    </row>
    <row r="94" spans="1:24" x14ac:dyDescent="0.25">
      <c r="A94" t="s">
        <v>199</v>
      </c>
      <c r="B94" t="s">
        <v>146</v>
      </c>
      <c r="C94" s="5">
        <v>47.714233075820196</v>
      </c>
      <c r="D94">
        <v>44</v>
      </c>
      <c r="E94">
        <v>276</v>
      </c>
      <c r="F94" s="5">
        <v>2100.1297546259302</v>
      </c>
      <c r="G94" t="s">
        <v>55</v>
      </c>
      <c r="H94">
        <v>90</v>
      </c>
      <c r="I94">
        <v>25</v>
      </c>
      <c r="J94">
        <v>10</v>
      </c>
      <c r="K94">
        <v>8</v>
      </c>
      <c r="L94" t="s">
        <v>27</v>
      </c>
      <c r="M94" s="5">
        <v>4.4695000261236002</v>
      </c>
      <c r="N94" t="s">
        <v>61</v>
      </c>
      <c r="O94" t="s">
        <v>29</v>
      </c>
      <c r="P94">
        <v>4</v>
      </c>
      <c r="Q94">
        <v>671</v>
      </c>
      <c r="R94">
        <v>29</v>
      </c>
      <c r="S94" s="5">
        <v>62.612690395614301</v>
      </c>
      <c r="T94" t="s">
        <v>64</v>
      </c>
      <c r="U94" s="4">
        <v>0.33343182522473902</v>
      </c>
      <c r="V94" t="s">
        <v>47</v>
      </c>
      <c r="W94" t="s">
        <v>32</v>
      </c>
      <c r="X94" s="5">
        <v>230.092782536762</v>
      </c>
    </row>
    <row r="95" spans="1:24" x14ac:dyDescent="0.25">
      <c r="A95" t="s">
        <v>200</v>
      </c>
      <c r="B95" t="s">
        <v>147</v>
      </c>
      <c r="C95" s="5">
        <v>69.290831002905406</v>
      </c>
      <c r="D95">
        <v>88</v>
      </c>
      <c r="E95">
        <v>114</v>
      </c>
      <c r="F95" s="5">
        <v>4531.4021336919004</v>
      </c>
      <c r="G95" t="s">
        <v>38</v>
      </c>
      <c r="H95">
        <v>63</v>
      </c>
      <c r="I95">
        <v>17</v>
      </c>
      <c r="J95">
        <v>66</v>
      </c>
      <c r="K95">
        <v>1</v>
      </c>
      <c r="L95" t="s">
        <v>43</v>
      </c>
      <c r="M95" s="5">
        <v>7.00643205900439</v>
      </c>
      <c r="N95" t="s">
        <v>52</v>
      </c>
      <c r="O95" t="s">
        <v>62</v>
      </c>
      <c r="P95">
        <v>21</v>
      </c>
      <c r="Q95">
        <v>824</v>
      </c>
      <c r="R95">
        <v>20</v>
      </c>
      <c r="S95" s="5">
        <v>35.633652343343797</v>
      </c>
      <c r="T95" t="s">
        <v>46</v>
      </c>
      <c r="U95" s="4">
        <v>4.1657817954241398</v>
      </c>
      <c r="V95" t="s">
        <v>40</v>
      </c>
      <c r="W95" t="s">
        <v>48</v>
      </c>
      <c r="X95" s="5">
        <v>823.52384588815505</v>
      </c>
    </row>
    <row r="96" spans="1:24" x14ac:dyDescent="0.25">
      <c r="A96" t="s">
        <v>199</v>
      </c>
      <c r="B96" t="s">
        <v>148</v>
      </c>
      <c r="C96" s="5">
        <v>3.0376887246314102</v>
      </c>
      <c r="D96">
        <v>97</v>
      </c>
      <c r="E96">
        <v>987</v>
      </c>
      <c r="F96" s="5">
        <v>7888.3565466618702</v>
      </c>
      <c r="G96" t="s">
        <v>38</v>
      </c>
      <c r="H96">
        <v>77</v>
      </c>
      <c r="I96">
        <v>26</v>
      </c>
      <c r="J96">
        <v>72</v>
      </c>
      <c r="K96">
        <v>9</v>
      </c>
      <c r="L96" t="s">
        <v>27</v>
      </c>
      <c r="M96" s="5">
        <v>6.9429459420325799</v>
      </c>
      <c r="N96" t="s">
        <v>61</v>
      </c>
      <c r="O96" t="s">
        <v>50</v>
      </c>
      <c r="P96">
        <v>12</v>
      </c>
      <c r="Q96">
        <v>908</v>
      </c>
      <c r="R96">
        <v>14</v>
      </c>
      <c r="S96" s="5">
        <v>60.387378614862101</v>
      </c>
      <c r="T96" t="s">
        <v>64</v>
      </c>
      <c r="U96" s="4">
        <v>1.4636074984727701</v>
      </c>
      <c r="V96" t="s">
        <v>47</v>
      </c>
      <c r="W96" t="s">
        <v>32</v>
      </c>
      <c r="X96" s="5">
        <v>846.66525698669398</v>
      </c>
    </row>
    <row r="97" spans="1:24" x14ac:dyDescent="0.25">
      <c r="A97" t="s">
        <v>200</v>
      </c>
      <c r="B97" t="s">
        <v>149</v>
      </c>
      <c r="C97" s="5">
        <v>77.903927219447695</v>
      </c>
      <c r="D97">
        <v>65</v>
      </c>
      <c r="E97">
        <v>672</v>
      </c>
      <c r="F97" s="5">
        <v>7386.3639440486604</v>
      </c>
      <c r="G97" t="s">
        <v>38</v>
      </c>
      <c r="H97">
        <v>15</v>
      </c>
      <c r="I97">
        <v>14</v>
      </c>
      <c r="J97">
        <v>26</v>
      </c>
      <c r="K97">
        <v>9</v>
      </c>
      <c r="L97" t="s">
        <v>27</v>
      </c>
      <c r="M97" s="5">
        <v>8.6303388696027508</v>
      </c>
      <c r="N97" t="s">
        <v>52</v>
      </c>
      <c r="O97" t="s">
        <v>29</v>
      </c>
      <c r="P97">
        <v>18</v>
      </c>
      <c r="Q97">
        <v>450</v>
      </c>
      <c r="R97">
        <v>26</v>
      </c>
      <c r="S97" s="5">
        <v>58.890685768589897</v>
      </c>
      <c r="T97" t="s">
        <v>30</v>
      </c>
      <c r="U97" s="4">
        <v>1.21088212958506</v>
      </c>
      <c r="V97" t="s">
        <v>40</v>
      </c>
      <c r="W97" t="s">
        <v>48</v>
      </c>
      <c r="X97" s="5">
        <v>778.86424137664699</v>
      </c>
    </row>
    <row r="98" spans="1:24" x14ac:dyDescent="0.25">
      <c r="A98" t="s">
        <v>199</v>
      </c>
      <c r="B98" t="s">
        <v>150</v>
      </c>
      <c r="C98" s="5">
        <v>24.423131420373299</v>
      </c>
      <c r="D98">
        <v>29</v>
      </c>
      <c r="E98">
        <v>324</v>
      </c>
      <c r="F98" s="5">
        <v>7698.4247656321104</v>
      </c>
      <c r="G98" t="s">
        <v>26</v>
      </c>
      <c r="H98">
        <v>67</v>
      </c>
      <c r="I98">
        <v>2</v>
      </c>
      <c r="J98">
        <v>32</v>
      </c>
      <c r="K98">
        <v>3</v>
      </c>
      <c r="L98" t="s">
        <v>43</v>
      </c>
      <c r="M98" s="5">
        <v>5.3528780439967996</v>
      </c>
      <c r="N98" t="s">
        <v>28</v>
      </c>
      <c r="O98" t="s">
        <v>29</v>
      </c>
      <c r="P98">
        <v>28</v>
      </c>
      <c r="Q98">
        <v>648</v>
      </c>
      <c r="R98">
        <v>28</v>
      </c>
      <c r="S98" s="5">
        <v>17.803756331391199</v>
      </c>
      <c r="T98" t="s">
        <v>30</v>
      </c>
      <c r="U98" s="4">
        <v>3.8720476814821301</v>
      </c>
      <c r="V98" t="s">
        <v>31</v>
      </c>
      <c r="W98" t="s">
        <v>48</v>
      </c>
      <c r="X98" s="5">
        <v>188.74214114905601</v>
      </c>
    </row>
    <row r="99" spans="1:24" x14ac:dyDescent="0.25">
      <c r="A99" t="s">
        <v>200</v>
      </c>
      <c r="B99" t="s">
        <v>151</v>
      </c>
      <c r="C99" s="5">
        <v>3.5261112591434101</v>
      </c>
      <c r="D99">
        <v>56</v>
      </c>
      <c r="E99">
        <v>62</v>
      </c>
      <c r="F99" s="5">
        <v>4370.9165799845296</v>
      </c>
      <c r="G99" t="s">
        <v>55</v>
      </c>
      <c r="H99">
        <v>46</v>
      </c>
      <c r="I99">
        <v>19</v>
      </c>
      <c r="J99">
        <v>4</v>
      </c>
      <c r="K99">
        <v>9</v>
      </c>
      <c r="L99" t="s">
        <v>36</v>
      </c>
      <c r="M99" s="5">
        <v>7.9048456112096703</v>
      </c>
      <c r="N99" t="s">
        <v>52</v>
      </c>
      <c r="O99" t="s">
        <v>29</v>
      </c>
      <c r="P99">
        <v>10</v>
      </c>
      <c r="Q99">
        <v>535</v>
      </c>
      <c r="R99">
        <v>13</v>
      </c>
      <c r="S99" s="5">
        <v>65.765155926367399</v>
      </c>
      <c r="T99" t="s">
        <v>46</v>
      </c>
      <c r="U99" s="4">
        <v>3.3762378347179798</v>
      </c>
      <c r="V99" t="s">
        <v>31</v>
      </c>
      <c r="W99" t="s">
        <v>48</v>
      </c>
      <c r="X99" s="5">
        <v>540.13242286796697</v>
      </c>
    </row>
    <row r="100" spans="1:24" x14ac:dyDescent="0.25">
      <c r="A100" t="s">
        <v>201</v>
      </c>
      <c r="B100" t="s">
        <v>152</v>
      </c>
      <c r="C100" s="5">
        <v>19.754604866878601</v>
      </c>
      <c r="D100">
        <v>43</v>
      </c>
      <c r="E100">
        <v>913</v>
      </c>
      <c r="F100" s="5">
        <v>8525.9525596835192</v>
      </c>
      <c r="G100" t="s">
        <v>35</v>
      </c>
      <c r="H100">
        <v>53</v>
      </c>
      <c r="I100">
        <v>1</v>
      </c>
      <c r="J100">
        <v>27</v>
      </c>
      <c r="K100">
        <v>7</v>
      </c>
      <c r="L100" t="s">
        <v>27</v>
      </c>
      <c r="M100" s="5">
        <v>1.4098010951380699</v>
      </c>
      <c r="N100" t="s">
        <v>44</v>
      </c>
      <c r="O100" t="s">
        <v>62</v>
      </c>
      <c r="P100">
        <v>28</v>
      </c>
      <c r="Q100">
        <v>581</v>
      </c>
      <c r="R100">
        <v>9</v>
      </c>
      <c r="S100" s="5">
        <v>5.6046908643717801</v>
      </c>
      <c r="T100" t="s">
        <v>30</v>
      </c>
      <c r="U100" s="4">
        <v>2.9081221693512598</v>
      </c>
      <c r="V100" t="s">
        <v>47</v>
      </c>
      <c r="W100" t="s">
        <v>48</v>
      </c>
      <c r="X100" s="5">
        <v>882.19886354704101</v>
      </c>
    </row>
    <row r="101" spans="1:24" x14ac:dyDescent="0.25">
      <c r="A101" t="s">
        <v>200</v>
      </c>
      <c r="B101" t="s">
        <v>153</v>
      </c>
      <c r="C101" s="5">
        <v>68.517832699276596</v>
      </c>
      <c r="D101">
        <v>17</v>
      </c>
      <c r="E101">
        <v>627</v>
      </c>
      <c r="F101" s="5">
        <v>9185.1858291817007</v>
      </c>
      <c r="G101" t="s">
        <v>38</v>
      </c>
      <c r="H101">
        <v>55</v>
      </c>
      <c r="I101">
        <v>8</v>
      </c>
      <c r="J101">
        <v>59</v>
      </c>
      <c r="K101">
        <v>6</v>
      </c>
      <c r="L101" t="s">
        <v>27</v>
      </c>
      <c r="M101" s="5">
        <v>1.3110237561206199</v>
      </c>
      <c r="N101" t="s">
        <v>61</v>
      </c>
      <c r="O101" t="s">
        <v>62</v>
      </c>
      <c r="P101">
        <v>29</v>
      </c>
      <c r="Q101">
        <v>921</v>
      </c>
      <c r="R101">
        <v>2</v>
      </c>
      <c r="S101" s="5">
        <v>38.072898520625998</v>
      </c>
      <c r="T101" t="s">
        <v>46</v>
      </c>
      <c r="U101" s="4">
        <v>0.34602729070550298</v>
      </c>
      <c r="V101" t="s">
        <v>47</v>
      </c>
      <c r="W101" t="s">
        <v>32</v>
      </c>
      <c r="X101" s="5">
        <v>210.743008964246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517"/>
  <sheetViews>
    <sheetView zoomScale="95" zoomScaleNormal="95" workbookViewId="0">
      <selection activeCell="C141" sqref="A137:C141"/>
    </sheetView>
  </sheetViews>
  <sheetFormatPr defaultRowHeight="15" x14ac:dyDescent="0.25"/>
  <cols>
    <col min="1" max="1" width="15.140625" customWidth="1"/>
    <col min="2" max="2" width="20.85546875" customWidth="1"/>
    <col min="3" max="3" width="29.85546875" customWidth="1"/>
    <col min="4" max="4" width="8.42578125" customWidth="1"/>
    <col min="5" max="5" width="11.5703125" customWidth="1"/>
  </cols>
  <sheetData>
    <row r="3" spans="1:5" x14ac:dyDescent="0.25">
      <c r="A3" s="1" t="s">
        <v>154</v>
      </c>
      <c r="B3" s="1" t="s">
        <v>157</v>
      </c>
    </row>
    <row r="4" spans="1:5" x14ac:dyDescent="0.25">
      <c r="A4" s="1" t="s">
        <v>156</v>
      </c>
      <c r="B4" t="s">
        <v>57</v>
      </c>
      <c r="C4" t="s">
        <v>24</v>
      </c>
      <c r="D4" t="s">
        <v>33</v>
      </c>
      <c r="E4" t="s">
        <v>155</v>
      </c>
    </row>
    <row r="5" spans="1:5" x14ac:dyDescent="0.25">
      <c r="A5" s="7">
        <v>1.6999760138659299</v>
      </c>
      <c r="B5" s="5"/>
      <c r="C5" s="5">
        <v>2828.3487459757498</v>
      </c>
      <c r="D5" s="5"/>
      <c r="E5" s="5">
        <v>2828.3487459757498</v>
      </c>
    </row>
    <row r="6" spans="1:5" x14ac:dyDescent="0.25">
      <c r="A6" s="7">
        <v>2.3972747055971402</v>
      </c>
      <c r="B6" s="5">
        <v>6117.3246150839896</v>
      </c>
      <c r="C6" s="5"/>
      <c r="D6" s="5"/>
      <c r="E6" s="5">
        <v>6117.3246150839896</v>
      </c>
    </row>
    <row r="7" spans="1:5" x14ac:dyDescent="0.25">
      <c r="A7" s="7">
        <v>3.0376887246314102</v>
      </c>
      <c r="B7" s="5">
        <v>7888.3565466618702</v>
      </c>
      <c r="C7" s="5"/>
      <c r="D7" s="5"/>
      <c r="E7" s="5">
        <v>7888.3565466618702</v>
      </c>
    </row>
    <row r="8" spans="1:5" x14ac:dyDescent="0.25">
      <c r="A8" s="7">
        <v>3.1700114135661499</v>
      </c>
      <c r="B8" s="5"/>
      <c r="C8" s="5">
        <v>5709.9452959692799</v>
      </c>
      <c r="D8" s="5"/>
      <c r="E8" s="5">
        <v>5709.9452959692799</v>
      </c>
    </row>
    <row r="9" spans="1:5" x14ac:dyDescent="0.25">
      <c r="A9" s="7">
        <v>3.5261112591434101</v>
      </c>
      <c r="B9" s="5"/>
      <c r="C9" s="5">
        <v>4370.9165799845296</v>
      </c>
      <c r="D9" s="5"/>
      <c r="E9" s="5">
        <v>4370.9165799845296</v>
      </c>
    </row>
    <row r="10" spans="1:5" x14ac:dyDescent="0.25">
      <c r="A10" s="7">
        <v>4.0783328631079403</v>
      </c>
      <c r="B10" s="5"/>
      <c r="C10" s="5"/>
      <c r="D10" s="5">
        <v>7823.4765595317303</v>
      </c>
      <c r="E10" s="5">
        <v>7823.4765595317303</v>
      </c>
    </row>
    <row r="11" spans="1:5" x14ac:dyDescent="0.25">
      <c r="A11" s="7">
        <v>4.1563083593111001</v>
      </c>
      <c r="B11" s="5"/>
      <c r="C11" s="5">
        <v>9049.0778609398894</v>
      </c>
      <c r="D11" s="5"/>
      <c r="E11" s="5">
        <v>9049.0778609398894</v>
      </c>
    </row>
    <row r="12" spans="1:5" x14ac:dyDescent="0.25">
      <c r="A12" s="7">
        <v>4.3243411858641601</v>
      </c>
      <c r="B12" s="5">
        <v>8858.3675710114803</v>
      </c>
      <c r="C12" s="5"/>
      <c r="D12" s="5"/>
      <c r="E12" s="5">
        <v>8858.3675710114803</v>
      </c>
    </row>
    <row r="13" spans="1:5" x14ac:dyDescent="0.25">
      <c r="A13" s="7">
        <v>4.8054960363458896</v>
      </c>
      <c r="B13" s="5"/>
      <c r="C13" s="5"/>
      <c r="D13" s="5">
        <v>2686.50515156744</v>
      </c>
      <c r="E13" s="5">
        <v>2686.50515156744</v>
      </c>
    </row>
    <row r="14" spans="1:5" x14ac:dyDescent="0.25">
      <c r="A14" s="7">
        <v>6.30688317611191</v>
      </c>
      <c r="B14" s="5"/>
      <c r="C14" s="5">
        <v>1292.45841793775</v>
      </c>
      <c r="D14" s="5"/>
      <c r="E14" s="5">
        <v>1292.45841793775</v>
      </c>
    </row>
    <row r="15" spans="1:5" x14ac:dyDescent="0.25">
      <c r="A15" s="7">
        <v>6.3815331627479601</v>
      </c>
      <c r="B15" s="5">
        <v>8180.3370854254399</v>
      </c>
      <c r="C15" s="5"/>
      <c r="D15" s="5"/>
      <c r="E15" s="5">
        <v>8180.3370854254399</v>
      </c>
    </row>
    <row r="16" spans="1:5" x14ac:dyDescent="0.25">
      <c r="A16" s="7">
        <v>7.5471721097912701</v>
      </c>
      <c r="B16" s="5"/>
      <c r="C16" s="5"/>
      <c r="D16" s="5">
        <v>6453.7979681762799</v>
      </c>
      <c r="E16" s="5">
        <v>6453.7979681762799</v>
      </c>
    </row>
    <row r="17" spans="1:5" x14ac:dyDescent="0.25">
      <c r="A17" s="7">
        <v>8.0228592105263896</v>
      </c>
      <c r="B17" s="5"/>
      <c r="C17" s="5">
        <v>2766.3423668660798</v>
      </c>
      <c r="D17" s="5"/>
      <c r="E17" s="5">
        <v>2766.3423668660798</v>
      </c>
    </row>
    <row r="18" spans="1:5" x14ac:dyDescent="0.25">
      <c r="A18" s="7">
        <v>9.81300257875405</v>
      </c>
      <c r="B18" s="5"/>
      <c r="C18" s="5"/>
      <c r="D18" s="5">
        <v>7573.4024578487297</v>
      </c>
      <c r="E18" s="5">
        <v>7573.4024578487297</v>
      </c>
    </row>
    <row r="19" spans="1:5" x14ac:dyDescent="0.25">
      <c r="A19" s="7">
        <v>11.319683293090501</v>
      </c>
      <c r="B19" s="5"/>
      <c r="C19" s="5">
        <v>9577.7496258687297</v>
      </c>
      <c r="D19" s="5"/>
      <c r="E19" s="5">
        <v>9577.7496258687297</v>
      </c>
    </row>
    <row r="20" spans="1:5" x14ac:dyDescent="0.25">
      <c r="A20" s="7">
        <v>11.7432717763092</v>
      </c>
      <c r="B20" s="5"/>
      <c r="C20" s="5">
        <v>5737.4255991190203</v>
      </c>
      <c r="D20" s="5"/>
      <c r="E20" s="5">
        <v>5737.4255991190203</v>
      </c>
    </row>
    <row r="21" spans="1:5" x14ac:dyDescent="0.25">
      <c r="A21" s="7">
        <v>13.0173767852878</v>
      </c>
      <c r="B21" s="5"/>
      <c r="C21" s="5"/>
      <c r="D21" s="5">
        <v>4256.9491408502199</v>
      </c>
      <c r="E21" s="5">
        <v>4256.9491408502199</v>
      </c>
    </row>
    <row r="22" spans="1:5" x14ac:dyDescent="0.25">
      <c r="A22" s="7">
        <v>13.881913501359101</v>
      </c>
      <c r="B22" s="5"/>
      <c r="C22" s="5"/>
      <c r="D22" s="5">
        <v>9592.6335702803099</v>
      </c>
      <c r="E22" s="5">
        <v>9592.6335702803099</v>
      </c>
    </row>
    <row r="23" spans="1:5" x14ac:dyDescent="0.25">
      <c r="A23" s="7">
        <v>14.203484264803</v>
      </c>
      <c r="B23" s="5">
        <v>5910.8853896688897</v>
      </c>
      <c r="C23" s="5"/>
      <c r="D23" s="5"/>
      <c r="E23" s="5">
        <v>5910.8853896688897</v>
      </c>
    </row>
    <row r="24" spans="1:5" x14ac:dyDescent="0.25">
      <c r="A24" s="7">
        <v>14.8435232750843</v>
      </c>
      <c r="B24" s="5"/>
      <c r="C24" s="5"/>
      <c r="D24" s="5">
        <v>7460.9000654458396</v>
      </c>
      <c r="E24" s="5">
        <v>7460.9000654458396</v>
      </c>
    </row>
    <row r="25" spans="1:5" x14ac:dyDescent="0.25">
      <c r="A25" s="7">
        <v>15.707795681912099</v>
      </c>
      <c r="B25" s="5"/>
      <c r="C25" s="5"/>
      <c r="D25" s="5">
        <v>2330.9658020919401</v>
      </c>
      <c r="E25" s="5">
        <v>2330.9658020919401</v>
      </c>
    </row>
    <row r="26" spans="1:5" x14ac:dyDescent="0.25">
      <c r="A26" s="7">
        <v>16.160393317379899</v>
      </c>
      <c r="B26" s="5"/>
      <c r="C26" s="5"/>
      <c r="D26" s="5">
        <v>4052.7384162378598</v>
      </c>
      <c r="E26" s="5">
        <v>4052.7384162378598</v>
      </c>
    </row>
    <row r="27" spans="1:5" x14ac:dyDescent="0.25">
      <c r="A27" s="7">
        <v>17.028027920188698</v>
      </c>
      <c r="B27" s="5"/>
      <c r="C27" s="5"/>
      <c r="D27" s="5">
        <v>8864.0843495864301</v>
      </c>
      <c r="E27" s="5">
        <v>8864.0843495864301</v>
      </c>
    </row>
    <row r="28" spans="1:5" x14ac:dyDescent="0.25">
      <c r="A28" s="7">
        <v>17.034930739467899</v>
      </c>
      <c r="B28" s="5"/>
      <c r="C28" s="5"/>
      <c r="D28" s="5">
        <v>2943.3818676094502</v>
      </c>
      <c r="E28" s="5">
        <v>2943.3818676094502</v>
      </c>
    </row>
    <row r="29" spans="1:5" x14ac:dyDescent="0.25">
      <c r="A29" s="7">
        <v>19.127477265823199</v>
      </c>
      <c r="B29" s="5"/>
      <c r="C29" s="5"/>
      <c r="D29" s="5">
        <v>1912.4656631007599</v>
      </c>
      <c r="E29" s="5">
        <v>1912.4656631007599</v>
      </c>
    </row>
    <row r="30" spans="1:5" x14ac:dyDescent="0.25">
      <c r="A30" s="7">
        <v>19.754604866878601</v>
      </c>
      <c r="B30" s="5"/>
      <c r="C30" s="5"/>
      <c r="D30" s="5">
        <v>8525.9525596835192</v>
      </c>
      <c r="E30" s="5">
        <v>8525.9525596835192</v>
      </c>
    </row>
    <row r="31" spans="1:5" x14ac:dyDescent="0.25">
      <c r="A31" s="7">
        <v>19.9981769404042</v>
      </c>
      <c r="B31" s="5"/>
      <c r="C31" s="5"/>
      <c r="D31" s="5">
        <v>1229.59102856498</v>
      </c>
      <c r="E31" s="5">
        <v>1229.59102856498</v>
      </c>
    </row>
    <row r="32" spans="1:5" x14ac:dyDescent="0.25">
      <c r="A32" s="7">
        <v>20.9863860370433</v>
      </c>
      <c r="B32" s="5"/>
      <c r="C32" s="5"/>
      <c r="D32" s="5">
        <v>4767.0204843441297</v>
      </c>
      <c r="E32" s="5">
        <v>4767.0204843441297</v>
      </c>
    </row>
    <row r="33" spans="1:5" x14ac:dyDescent="0.25">
      <c r="A33" s="7">
        <v>23.3998447526143</v>
      </c>
      <c r="B33" s="5"/>
      <c r="C33" s="5"/>
      <c r="D33" s="5">
        <v>2438.3399304700201</v>
      </c>
      <c r="E33" s="5">
        <v>2438.3399304700201</v>
      </c>
    </row>
    <row r="34" spans="1:5" x14ac:dyDescent="0.25">
      <c r="A34" s="7">
        <v>24.423131420373299</v>
      </c>
      <c r="B34" s="5">
        <v>7698.4247656321104</v>
      </c>
      <c r="C34" s="5"/>
      <c r="D34" s="5"/>
      <c r="E34" s="5">
        <v>7698.4247656321104</v>
      </c>
    </row>
    <row r="35" spans="1:5" x14ac:dyDescent="0.25">
      <c r="A35" s="7">
        <v>26.034869773962001</v>
      </c>
      <c r="B35" s="5"/>
      <c r="C35" s="5"/>
      <c r="D35" s="5">
        <v>8367.7216180201503</v>
      </c>
      <c r="E35" s="5">
        <v>8367.7216180201503</v>
      </c>
    </row>
    <row r="36" spans="1:5" x14ac:dyDescent="0.25">
      <c r="A36" s="7">
        <v>26.700760972461701</v>
      </c>
      <c r="B36" s="5"/>
      <c r="C36" s="5">
        <v>9866.4654579796897</v>
      </c>
      <c r="D36" s="5"/>
      <c r="E36" s="5">
        <v>9866.4654579796897</v>
      </c>
    </row>
    <row r="37" spans="1:5" x14ac:dyDescent="0.25">
      <c r="A37" s="7">
        <v>27.082207199888899</v>
      </c>
      <c r="B37" s="5"/>
      <c r="C37" s="5">
        <v>2556.7673606335902</v>
      </c>
      <c r="D37" s="5"/>
      <c r="E37" s="5">
        <v>2556.7673606335902</v>
      </c>
    </row>
    <row r="38" spans="1:5" x14ac:dyDescent="0.25">
      <c r="A38" s="7">
        <v>27.679780886501899</v>
      </c>
      <c r="B38" s="5"/>
      <c r="C38" s="5">
        <v>2390.8078665561702</v>
      </c>
      <c r="D38" s="5"/>
      <c r="E38" s="5">
        <v>2390.8078665561702</v>
      </c>
    </row>
    <row r="39" spans="1:5" x14ac:dyDescent="0.25">
      <c r="A39" s="7">
        <v>30.3414707112142</v>
      </c>
      <c r="B39" s="5"/>
      <c r="C39" s="5"/>
      <c r="D39" s="5">
        <v>8232.3348294258194</v>
      </c>
      <c r="E39" s="5">
        <v>8232.3348294258194</v>
      </c>
    </row>
    <row r="40" spans="1:5" x14ac:dyDescent="0.25">
      <c r="A40" s="7">
        <v>31.1462431602408</v>
      </c>
      <c r="B40" s="5"/>
      <c r="C40" s="5">
        <v>6088.0214799408504</v>
      </c>
      <c r="D40" s="5"/>
      <c r="E40" s="5">
        <v>6088.0214799408504</v>
      </c>
    </row>
    <row r="41" spans="1:5" x14ac:dyDescent="0.25">
      <c r="A41" s="7">
        <v>33.697717206643098</v>
      </c>
      <c r="B41" s="5"/>
      <c r="C41" s="5"/>
      <c r="D41" s="5">
        <v>8354.5796864819895</v>
      </c>
      <c r="E41" s="5">
        <v>8354.5796864819895</v>
      </c>
    </row>
    <row r="42" spans="1:5" x14ac:dyDescent="0.25">
      <c r="A42" s="7">
        <v>33.784138033065503</v>
      </c>
      <c r="B42" s="5"/>
      <c r="C42" s="5">
        <v>5267.9568075105199</v>
      </c>
      <c r="D42" s="5"/>
      <c r="E42" s="5">
        <v>5267.9568075105199</v>
      </c>
    </row>
    <row r="43" spans="1:5" x14ac:dyDescent="0.25">
      <c r="A43" s="7">
        <v>36.4436277704609</v>
      </c>
      <c r="B43" s="5"/>
      <c r="C43" s="5">
        <v>9364.6735050761708</v>
      </c>
      <c r="D43" s="5"/>
      <c r="E43" s="5">
        <v>9364.6735050761708</v>
      </c>
    </row>
    <row r="44" spans="1:5" x14ac:dyDescent="0.25">
      <c r="A44" s="7">
        <v>36.989244928626903</v>
      </c>
      <c r="B44" s="5"/>
      <c r="C44" s="5"/>
      <c r="D44" s="5">
        <v>5442.0867853976697</v>
      </c>
      <c r="E44" s="5">
        <v>5442.0867853976697</v>
      </c>
    </row>
    <row r="45" spans="1:5" x14ac:dyDescent="0.25">
      <c r="A45" s="7">
        <v>37.467592329842397</v>
      </c>
      <c r="B45" s="5"/>
      <c r="C45" s="5"/>
      <c r="D45" s="5">
        <v>9061.7108955077201</v>
      </c>
      <c r="E45" s="5">
        <v>9061.7108955077201</v>
      </c>
    </row>
    <row r="46" spans="1:5" x14ac:dyDescent="0.25">
      <c r="A46" s="7">
        <v>37.931812382790298</v>
      </c>
      <c r="B46" s="5"/>
      <c r="C46" s="5">
        <v>3550.21843278099</v>
      </c>
      <c r="D46" s="5"/>
      <c r="E46" s="5">
        <v>3550.21843278099</v>
      </c>
    </row>
    <row r="47" spans="1:5" x14ac:dyDescent="0.25">
      <c r="A47" s="7">
        <v>39.629343985092603</v>
      </c>
      <c r="B47" s="5"/>
      <c r="C47" s="5">
        <v>2174.7770543506499</v>
      </c>
      <c r="D47" s="5"/>
      <c r="E47" s="5">
        <v>2174.7770543506499</v>
      </c>
    </row>
    <row r="48" spans="1:5" x14ac:dyDescent="0.25">
      <c r="A48" s="7">
        <v>42.958384382459997</v>
      </c>
      <c r="B48" s="5">
        <v>8496.1038130898305</v>
      </c>
      <c r="C48" s="5"/>
      <c r="D48" s="5"/>
      <c r="E48" s="5">
        <v>8496.1038130898305</v>
      </c>
    </row>
    <row r="49" spans="1:5" x14ac:dyDescent="0.25">
      <c r="A49" s="7">
        <v>46.529167614516702</v>
      </c>
      <c r="B49" s="5"/>
      <c r="C49" s="5"/>
      <c r="D49" s="5">
        <v>1839.60942585676</v>
      </c>
      <c r="E49" s="5">
        <v>1839.60942585676</v>
      </c>
    </row>
    <row r="50" spans="1:5" x14ac:dyDescent="0.25">
      <c r="A50" s="7">
        <v>47.714233075820196</v>
      </c>
      <c r="B50" s="5">
        <v>2100.1297546259302</v>
      </c>
      <c r="C50" s="5"/>
      <c r="D50" s="5"/>
      <c r="E50" s="5">
        <v>2100.1297546259302</v>
      </c>
    </row>
    <row r="51" spans="1:5" x14ac:dyDescent="0.25">
      <c r="A51" s="7">
        <v>47.914541824058702</v>
      </c>
      <c r="B51" s="5"/>
      <c r="C51" s="5">
        <v>7014.8879872033804</v>
      </c>
      <c r="D51" s="5"/>
      <c r="E51" s="5">
        <v>7014.8879872033804</v>
      </c>
    </row>
    <row r="52" spans="1:5" x14ac:dyDescent="0.25">
      <c r="A52" s="7">
        <v>49.263205350734097</v>
      </c>
      <c r="B52" s="5"/>
      <c r="C52" s="5">
        <v>1605.8669003924001</v>
      </c>
      <c r="D52" s="5"/>
      <c r="E52" s="5">
        <v>1605.8669003924001</v>
      </c>
    </row>
    <row r="53" spans="1:5" x14ac:dyDescent="0.25">
      <c r="A53" s="7">
        <v>50.847393051718697</v>
      </c>
      <c r="B53" s="5"/>
      <c r="C53" s="5"/>
      <c r="D53" s="5">
        <v>9655.1351027193905</v>
      </c>
      <c r="E53" s="5">
        <v>9655.1351027193905</v>
      </c>
    </row>
    <row r="54" spans="1:5" x14ac:dyDescent="0.25">
      <c r="A54" s="7">
        <v>51.123870087964697</v>
      </c>
      <c r="B54" s="5"/>
      <c r="C54" s="5"/>
      <c r="D54" s="5">
        <v>2553.4955849912099</v>
      </c>
      <c r="E54" s="5">
        <v>2553.4955849912099</v>
      </c>
    </row>
    <row r="55" spans="1:5" x14ac:dyDescent="0.25">
      <c r="A55" s="7">
        <v>51.355790913110297</v>
      </c>
      <c r="B55" s="5">
        <v>7152.28604943551</v>
      </c>
      <c r="C55" s="5"/>
      <c r="D55" s="5"/>
      <c r="E55" s="5">
        <v>7152.28604943551</v>
      </c>
    </row>
    <row r="56" spans="1:5" x14ac:dyDescent="0.25">
      <c r="A56" s="7">
        <v>52.028749903294901</v>
      </c>
      <c r="B56" s="5"/>
      <c r="C56" s="5">
        <v>6885.5893508962499</v>
      </c>
      <c r="D56" s="5"/>
      <c r="E56" s="5">
        <v>6885.5893508962499</v>
      </c>
    </row>
    <row r="57" spans="1:5" x14ac:dyDescent="0.25">
      <c r="A57" s="7">
        <v>52.075930682707799</v>
      </c>
      <c r="B57" s="5">
        <v>9692.3180402184298</v>
      </c>
      <c r="C57" s="5"/>
      <c r="D57" s="5"/>
      <c r="E57" s="5">
        <v>9692.3180402184298</v>
      </c>
    </row>
    <row r="58" spans="1:5" x14ac:dyDescent="0.25">
      <c r="A58" s="7">
        <v>54.865528517069698</v>
      </c>
      <c r="B58" s="5"/>
      <c r="C58" s="5"/>
      <c r="D58" s="5">
        <v>1752.3810874841199</v>
      </c>
      <c r="E58" s="5">
        <v>1752.3810874841199</v>
      </c>
    </row>
    <row r="59" spans="1:5" x14ac:dyDescent="0.25">
      <c r="A59" s="7">
        <v>57.057031221103202</v>
      </c>
      <c r="B59" s="5"/>
      <c r="C59" s="5">
        <v>7888.7232684270803</v>
      </c>
      <c r="D59" s="5"/>
      <c r="E59" s="5">
        <v>7888.7232684270803</v>
      </c>
    </row>
    <row r="60" spans="1:5" x14ac:dyDescent="0.25">
      <c r="A60" s="7">
        <v>57.449742958971399</v>
      </c>
      <c r="B60" s="5"/>
      <c r="C60" s="5">
        <v>2483.7601775427902</v>
      </c>
      <c r="D60" s="5"/>
      <c r="E60" s="5">
        <v>2483.7601775427902</v>
      </c>
    </row>
    <row r="61" spans="1:5" x14ac:dyDescent="0.25">
      <c r="A61" s="7">
        <v>59.841561377289302</v>
      </c>
      <c r="B61" s="5"/>
      <c r="C61" s="5"/>
      <c r="D61" s="5">
        <v>2021.1498103371</v>
      </c>
      <c r="E61" s="5">
        <v>2021.1498103371</v>
      </c>
    </row>
    <row r="62" spans="1:5" x14ac:dyDescent="0.25">
      <c r="A62" s="7">
        <v>61.1633430164377</v>
      </c>
      <c r="B62" s="5"/>
      <c r="C62" s="5"/>
      <c r="D62" s="5">
        <v>7766.8364256852301</v>
      </c>
      <c r="E62" s="5">
        <v>7766.8364256852301</v>
      </c>
    </row>
    <row r="63" spans="1:5" x14ac:dyDescent="0.25">
      <c r="A63" s="7">
        <v>62.111965463961702</v>
      </c>
      <c r="B63" s="5">
        <v>1935.20679350759</v>
      </c>
      <c r="C63" s="5"/>
      <c r="D63" s="5"/>
      <c r="E63" s="5">
        <v>1935.20679350759</v>
      </c>
    </row>
    <row r="64" spans="1:5" x14ac:dyDescent="0.25">
      <c r="A64" s="7">
        <v>63.447559185207297</v>
      </c>
      <c r="B64" s="5">
        <v>8318.9031946171708</v>
      </c>
      <c r="C64" s="5"/>
      <c r="D64" s="5"/>
      <c r="E64" s="5">
        <v>8318.9031946171708</v>
      </c>
    </row>
    <row r="65" spans="1:5" x14ac:dyDescent="0.25">
      <c r="A65" s="7">
        <v>63.828398347710902</v>
      </c>
      <c r="B65" s="5">
        <v>1061.6185230132801</v>
      </c>
      <c r="C65" s="5"/>
      <c r="D65" s="5"/>
      <c r="E65" s="5">
        <v>1061.6185230132801</v>
      </c>
    </row>
    <row r="66" spans="1:5" x14ac:dyDescent="0.25">
      <c r="A66" s="7">
        <v>64.0157329412785</v>
      </c>
      <c r="B66" s="5"/>
      <c r="C66" s="5"/>
      <c r="D66" s="5">
        <v>4971.1459875855498</v>
      </c>
      <c r="E66" s="5">
        <v>4971.1459875855498</v>
      </c>
    </row>
    <row r="67" spans="1:5" x14ac:dyDescent="0.25">
      <c r="A67" s="7">
        <v>64.795435000155607</v>
      </c>
      <c r="B67" s="5">
        <v>5149.9983504080301</v>
      </c>
      <c r="C67" s="5"/>
      <c r="D67" s="5"/>
      <c r="E67" s="5">
        <v>5149.9983504080301</v>
      </c>
    </row>
    <row r="68" spans="1:5" x14ac:dyDescent="0.25">
      <c r="A68" s="7">
        <v>68.517832699276596</v>
      </c>
      <c r="B68" s="5"/>
      <c r="C68" s="5">
        <v>9185.1858291817007</v>
      </c>
      <c r="D68" s="5"/>
      <c r="E68" s="5">
        <v>9185.1858291817007</v>
      </c>
    </row>
    <row r="69" spans="1:5" x14ac:dyDescent="0.25">
      <c r="A69" s="7">
        <v>68.717596748527299</v>
      </c>
      <c r="B69" s="5">
        <v>7517.3632106311197</v>
      </c>
      <c r="C69" s="5"/>
      <c r="D69" s="5"/>
      <c r="E69" s="5">
        <v>7517.3632106311197</v>
      </c>
    </row>
    <row r="70" spans="1:5" x14ac:dyDescent="0.25">
      <c r="A70" s="7">
        <v>68.911246211606297</v>
      </c>
      <c r="B70" s="5"/>
      <c r="C70" s="5">
        <v>2411.7546321104901</v>
      </c>
      <c r="D70" s="5"/>
      <c r="E70" s="5">
        <v>2411.7546321104901</v>
      </c>
    </row>
    <row r="71" spans="1:5" x14ac:dyDescent="0.25">
      <c r="A71" s="7">
        <v>69.108799547430294</v>
      </c>
      <c r="B71" s="5"/>
      <c r="C71" s="5">
        <v>5328.3759842977497</v>
      </c>
      <c r="D71" s="5"/>
      <c r="E71" s="5">
        <v>5328.3759842977497</v>
      </c>
    </row>
    <row r="72" spans="1:5" x14ac:dyDescent="0.25">
      <c r="A72" s="7">
        <v>69.290831002905406</v>
      </c>
      <c r="B72" s="5"/>
      <c r="C72" s="5">
        <v>4531.4021336919004</v>
      </c>
      <c r="D72" s="5"/>
      <c r="E72" s="5">
        <v>4531.4021336919004</v>
      </c>
    </row>
    <row r="73" spans="1:5" x14ac:dyDescent="0.25">
      <c r="A73" s="7">
        <v>69.808005542115694</v>
      </c>
      <c r="B73" s="5"/>
      <c r="C73" s="5">
        <v>8661.9967923923796</v>
      </c>
      <c r="D73" s="5"/>
      <c r="E73" s="5">
        <v>8661.9967923923796</v>
      </c>
    </row>
    <row r="74" spans="1:5" x14ac:dyDescent="0.25">
      <c r="A74" s="7">
        <v>71.213389075359999</v>
      </c>
      <c r="B74" s="5"/>
      <c r="C74" s="5">
        <v>2873.74144602144</v>
      </c>
      <c r="D74" s="5"/>
      <c r="E74" s="5">
        <v>2873.74144602144</v>
      </c>
    </row>
    <row r="75" spans="1:5" x14ac:dyDescent="0.25">
      <c r="A75" s="7">
        <v>72.796353955587307</v>
      </c>
      <c r="B75" s="5">
        <v>3899.7468337292198</v>
      </c>
      <c r="C75" s="5"/>
      <c r="D75" s="5"/>
      <c r="E75" s="5">
        <v>3899.7468337292198</v>
      </c>
    </row>
    <row r="76" spans="1:5" x14ac:dyDescent="0.25">
      <c r="A76" s="7">
        <v>72.819206930318202</v>
      </c>
      <c r="B76" s="5"/>
      <c r="C76" s="5">
        <v>4384.4134000458598</v>
      </c>
      <c r="D76" s="5"/>
      <c r="E76" s="5">
        <v>4384.4134000458598</v>
      </c>
    </row>
    <row r="77" spans="1:5" x14ac:dyDescent="0.25">
      <c r="A77" s="7">
        <v>75.270406975724995</v>
      </c>
      <c r="B77" s="5">
        <v>9444.7420330629793</v>
      </c>
      <c r="C77" s="5"/>
      <c r="D77" s="5"/>
      <c r="E77" s="5">
        <v>9444.7420330629793</v>
      </c>
    </row>
    <row r="78" spans="1:5" x14ac:dyDescent="0.25">
      <c r="A78" s="7">
        <v>76.035544426891704</v>
      </c>
      <c r="B78" s="5"/>
      <c r="C78" s="5">
        <v>7397.0710045871801</v>
      </c>
      <c r="D78" s="5"/>
      <c r="E78" s="5">
        <v>7397.0710045871801</v>
      </c>
    </row>
    <row r="79" spans="1:5" x14ac:dyDescent="0.25">
      <c r="A79" s="7">
        <v>76.962994415193805</v>
      </c>
      <c r="B79" s="5">
        <v>8684.6130592538502</v>
      </c>
      <c r="C79" s="5"/>
      <c r="D79" s="5"/>
      <c r="E79" s="5">
        <v>8684.6130592538502</v>
      </c>
    </row>
    <row r="80" spans="1:5" x14ac:dyDescent="0.25">
      <c r="A80" s="7">
        <v>77.903927219447695</v>
      </c>
      <c r="B80" s="5"/>
      <c r="C80" s="5">
        <v>7386.3639440486604</v>
      </c>
      <c r="D80" s="5"/>
      <c r="E80" s="5">
        <v>7386.3639440486604</v>
      </c>
    </row>
    <row r="81" spans="1:5" x14ac:dyDescent="0.25">
      <c r="A81" s="7">
        <v>78.897913205639995</v>
      </c>
      <c r="B81" s="5">
        <v>8001.6132065190004</v>
      </c>
      <c r="C81" s="5"/>
      <c r="D81" s="5"/>
      <c r="E81" s="5">
        <v>8001.6132065190004</v>
      </c>
    </row>
    <row r="82" spans="1:5" x14ac:dyDescent="0.25">
      <c r="A82" s="7">
        <v>79.209936015656695</v>
      </c>
      <c r="B82" s="5"/>
      <c r="C82" s="5"/>
      <c r="D82" s="5">
        <v>9571.5504873278096</v>
      </c>
      <c r="E82" s="5">
        <v>9571.5504873278096</v>
      </c>
    </row>
    <row r="83" spans="1:5" x14ac:dyDescent="0.25">
      <c r="A83" s="7">
        <v>79.855058340789398</v>
      </c>
      <c r="B83" s="5"/>
      <c r="C83" s="5">
        <v>2925.6751703038099</v>
      </c>
      <c r="D83" s="5"/>
      <c r="E83" s="5">
        <v>2925.6751703038099</v>
      </c>
    </row>
    <row r="84" spans="1:5" x14ac:dyDescent="0.25">
      <c r="A84" s="7">
        <v>80.414036650355698</v>
      </c>
      <c r="B84" s="5"/>
      <c r="C84" s="5">
        <v>5133.8467010866898</v>
      </c>
      <c r="D84" s="5"/>
      <c r="E84" s="5">
        <v>5133.8467010866898</v>
      </c>
    </row>
    <row r="85" spans="1:5" x14ac:dyDescent="0.25">
      <c r="A85" s="7">
        <v>80.541424170940303</v>
      </c>
      <c r="B85" s="5"/>
      <c r="C85" s="5"/>
      <c r="D85" s="5">
        <v>5724.9593504562599</v>
      </c>
      <c r="E85" s="5">
        <v>5724.9593504562599</v>
      </c>
    </row>
    <row r="86" spans="1:5" x14ac:dyDescent="0.25">
      <c r="A86" s="7">
        <v>81.462534369237005</v>
      </c>
      <c r="B86" s="5">
        <v>2629.39643484526</v>
      </c>
      <c r="C86" s="5"/>
      <c r="D86" s="5"/>
      <c r="E86" s="5">
        <v>2629.39643484526</v>
      </c>
    </row>
    <row r="87" spans="1:5" x14ac:dyDescent="0.25">
      <c r="A87" s="7">
        <v>83.851017681304597</v>
      </c>
      <c r="B87" s="5">
        <v>7910.8869161406801</v>
      </c>
      <c r="C87" s="5"/>
      <c r="D87" s="5"/>
      <c r="E87" s="5">
        <v>7910.8869161406801</v>
      </c>
    </row>
    <row r="88" spans="1:5" x14ac:dyDescent="0.25">
      <c r="A88" s="7">
        <v>84.893868984950799</v>
      </c>
      <c r="B88" s="5">
        <v>7087.0526963574302</v>
      </c>
      <c r="C88" s="5"/>
      <c r="D88" s="5"/>
      <c r="E88" s="5">
        <v>7087.0526963574302</v>
      </c>
    </row>
    <row r="89" spans="1:5" x14ac:dyDescent="0.25">
      <c r="A89" s="7">
        <v>84.957786816350406</v>
      </c>
      <c r="B89" s="5">
        <v>6541.3293448024597</v>
      </c>
      <c r="C89" s="5"/>
      <c r="D89" s="5"/>
      <c r="E89" s="5">
        <v>6541.3293448024597</v>
      </c>
    </row>
    <row r="90" spans="1:5" x14ac:dyDescent="0.25">
      <c r="A90" s="7">
        <v>87.755432354001002</v>
      </c>
      <c r="B90" s="5"/>
      <c r="C90" s="5"/>
      <c r="D90" s="5">
        <v>9473.7980325083299</v>
      </c>
      <c r="E90" s="5">
        <v>9473.7980325083299</v>
      </c>
    </row>
    <row r="91" spans="1:5" x14ac:dyDescent="0.25">
      <c r="A91" s="7">
        <v>89.104367292102197</v>
      </c>
      <c r="B91" s="5"/>
      <c r="C91" s="5">
        <v>2048.2900998487098</v>
      </c>
      <c r="D91" s="5"/>
      <c r="E91" s="5">
        <v>2048.2900998487098</v>
      </c>
    </row>
    <row r="92" spans="1:5" x14ac:dyDescent="0.25">
      <c r="A92" s="7">
        <v>89.634095608135297</v>
      </c>
      <c r="B92" s="5"/>
      <c r="C92" s="5"/>
      <c r="D92" s="5">
        <v>8458.7308783671706</v>
      </c>
      <c r="E92" s="5">
        <v>8458.7308783671706</v>
      </c>
    </row>
    <row r="93" spans="1:5" x14ac:dyDescent="0.25">
      <c r="A93" s="7">
        <v>90.204427520528</v>
      </c>
      <c r="B93" s="5">
        <v>2633.1219813122498</v>
      </c>
      <c r="C93" s="5"/>
      <c r="D93" s="5"/>
      <c r="E93" s="5">
        <v>2633.1219813122498</v>
      </c>
    </row>
    <row r="94" spans="1:5" x14ac:dyDescent="0.25">
      <c r="A94" s="7">
        <v>90.635459982288594</v>
      </c>
      <c r="B94" s="5"/>
      <c r="C94" s="5"/>
      <c r="D94" s="5">
        <v>6099.9441155814502</v>
      </c>
      <c r="E94" s="5">
        <v>6099.9441155814502</v>
      </c>
    </row>
    <row r="95" spans="1:5" x14ac:dyDescent="0.25">
      <c r="A95" s="7">
        <v>91.128318350444303</v>
      </c>
      <c r="B95" s="5"/>
      <c r="C95" s="5"/>
      <c r="D95" s="5">
        <v>8651.67268298206</v>
      </c>
      <c r="E95" s="5">
        <v>8651.67268298206</v>
      </c>
    </row>
    <row r="96" spans="1:5" x14ac:dyDescent="0.25">
      <c r="A96" s="7">
        <v>92.557360812401996</v>
      </c>
      <c r="B96" s="5">
        <v>2686.4572235759802</v>
      </c>
      <c r="C96" s="5"/>
      <c r="D96" s="5"/>
      <c r="E96" s="5">
        <v>2686.4572235759802</v>
      </c>
    </row>
    <row r="97" spans="1:5" x14ac:dyDescent="0.25">
      <c r="A97" s="7">
        <v>92.996884233970604</v>
      </c>
      <c r="B97" s="5"/>
      <c r="C97" s="5"/>
      <c r="D97" s="5">
        <v>1889.07358977933</v>
      </c>
      <c r="E97" s="5">
        <v>1889.07358977933</v>
      </c>
    </row>
    <row r="98" spans="1:5" x14ac:dyDescent="0.25">
      <c r="A98" s="7">
        <v>95.712135880936003</v>
      </c>
      <c r="B98" s="5"/>
      <c r="C98" s="5"/>
      <c r="D98" s="5">
        <v>7089.4742499341801</v>
      </c>
      <c r="E98" s="5">
        <v>7089.4742499341801</v>
      </c>
    </row>
    <row r="99" spans="1:5" x14ac:dyDescent="0.25">
      <c r="A99" s="7">
        <v>96.341072439963298</v>
      </c>
      <c r="B99" s="5"/>
      <c r="C99" s="5"/>
      <c r="D99" s="5">
        <v>8128.0276968511898</v>
      </c>
      <c r="E99" s="5">
        <v>8128.0276968511898</v>
      </c>
    </row>
    <row r="100" spans="1:5" x14ac:dyDescent="0.25">
      <c r="A100" s="7">
        <v>97.446946617892806</v>
      </c>
      <c r="B100" s="5"/>
      <c r="C100" s="5">
        <v>3716.49332589403</v>
      </c>
      <c r="D100" s="5"/>
      <c r="E100" s="5">
        <v>3716.49332589403</v>
      </c>
    </row>
    <row r="101" spans="1:5" x14ac:dyDescent="0.25">
      <c r="A101" s="7">
        <v>97.760085581938597</v>
      </c>
      <c r="B101" s="5">
        <v>5924.6825668532301</v>
      </c>
      <c r="C101" s="5"/>
      <c r="D101" s="5"/>
      <c r="E101" s="5">
        <v>5924.6825668532301</v>
      </c>
    </row>
    <row r="102" spans="1:5" x14ac:dyDescent="0.25">
      <c r="A102" s="7">
        <v>98.031829656465007</v>
      </c>
      <c r="B102" s="5"/>
      <c r="C102" s="5"/>
      <c r="D102" s="5">
        <v>9435.7626089121295</v>
      </c>
      <c r="E102" s="5">
        <v>9435.7626089121295</v>
      </c>
    </row>
    <row r="103" spans="1:5" x14ac:dyDescent="0.25">
      <c r="A103" s="7">
        <v>99.113291615317095</v>
      </c>
      <c r="B103" s="5"/>
      <c r="C103" s="5"/>
      <c r="D103" s="5">
        <v>5521.2052590109697</v>
      </c>
      <c r="E103" s="5">
        <v>5521.2052590109697</v>
      </c>
    </row>
    <row r="104" spans="1:5" x14ac:dyDescent="0.25">
      <c r="A104" s="7">
        <v>99.171328638624104</v>
      </c>
      <c r="B104" s="5"/>
      <c r="C104" s="5"/>
      <c r="D104" s="5">
        <v>8653.5709264697998</v>
      </c>
      <c r="E104" s="5">
        <v>8653.5709264697998</v>
      </c>
    </row>
    <row r="105" spans="1:5" x14ac:dyDescent="0.25">
      <c r="A105" s="6" t="s">
        <v>155</v>
      </c>
      <c r="B105" s="5">
        <v>161521.26599948303</v>
      </c>
      <c r="C105" s="5">
        <v>174455.39060546219</v>
      </c>
      <c r="D105" s="5">
        <v>241628.16213306299</v>
      </c>
      <c r="E105" s="5">
        <v>577604.81873800815</v>
      </c>
    </row>
    <row r="108" spans="1:5" x14ac:dyDescent="0.25">
      <c r="A108" s="1" t="s">
        <v>156</v>
      </c>
      <c r="B108" t="s">
        <v>158</v>
      </c>
    </row>
    <row r="109" spans="1:5" x14ac:dyDescent="0.25">
      <c r="A109" s="2" t="s">
        <v>57</v>
      </c>
      <c r="B109" s="8">
        <v>0.25503807024013536</v>
      </c>
    </row>
    <row r="110" spans="1:5" x14ac:dyDescent="0.25">
      <c r="A110" s="2" t="s">
        <v>24</v>
      </c>
      <c r="B110" s="8">
        <v>0.29525586238313195</v>
      </c>
    </row>
    <row r="111" spans="1:5" x14ac:dyDescent="0.25">
      <c r="A111" s="2" t="s">
        <v>33</v>
      </c>
      <c r="B111" s="8">
        <v>0.44970606737673269</v>
      </c>
    </row>
    <row r="112" spans="1:5" x14ac:dyDescent="0.25">
      <c r="A112" s="6" t="s">
        <v>155</v>
      </c>
      <c r="B112" s="8">
        <v>1</v>
      </c>
    </row>
    <row r="122" spans="1:2" x14ac:dyDescent="0.25">
      <c r="A122" s="1" t="s">
        <v>156</v>
      </c>
      <c r="B122" t="s">
        <v>154</v>
      </c>
    </row>
    <row r="123" spans="1:2" x14ac:dyDescent="0.25">
      <c r="A123" s="2" t="s">
        <v>36</v>
      </c>
      <c r="B123" s="9">
        <v>142629.99460668507</v>
      </c>
    </row>
    <row r="124" spans="1:2" x14ac:dyDescent="0.25">
      <c r="A124" s="2" t="s">
        <v>27</v>
      </c>
      <c r="B124" s="9">
        <v>250094.64698794941</v>
      </c>
    </row>
    <row r="125" spans="1:2" x14ac:dyDescent="0.25">
      <c r="A125" s="2" t="s">
        <v>43</v>
      </c>
      <c r="B125" s="9">
        <v>184880.17714337376</v>
      </c>
    </row>
    <row r="126" spans="1:2" x14ac:dyDescent="0.25">
      <c r="A126" s="6" t="s">
        <v>155</v>
      </c>
      <c r="B126" s="5">
        <v>577604.81873800827</v>
      </c>
    </row>
    <row r="137" spans="1:3" x14ac:dyDescent="0.25">
      <c r="A137" s="1" t="s">
        <v>0</v>
      </c>
      <c r="B137" t="s">
        <v>159</v>
      </c>
      <c r="C137" t="s">
        <v>160</v>
      </c>
    </row>
    <row r="138" spans="1:3" x14ac:dyDescent="0.25">
      <c r="A138" s="2" t="s">
        <v>57</v>
      </c>
      <c r="B138" s="3">
        <v>15.384615384615385</v>
      </c>
      <c r="C138" s="3">
        <v>43.052740496493371</v>
      </c>
    </row>
    <row r="139" spans="1:3" x14ac:dyDescent="0.25">
      <c r="A139" s="2" t="s">
        <v>24</v>
      </c>
      <c r="B139" s="3">
        <v>15.529411764705882</v>
      </c>
      <c r="C139" s="3">
        <v>48.457993420627218</v>
      </c>
    </row>
    <row r="140" spans="1:3" x14ac:dyDescent="0.25">
      <c r="A140" s="2" t="s">
        <v>33</v>
      </c>
      <c r="B140" s="3">
        <v>16.7</v>
      </c>
      <c r="C140" s="3">
        <v>48.993157373420878</v>
      </c>
    </row>
    <row r="141" spans="1:3" x14ac:dyDescent="0.25">
      <c r="A141" s="6" t="s">
        <v>155</v>
      </c>
      <c r="B141" s="3">
        <v>15.96</v>
      </c>
      <c r="C141" s="3">
        <v>47.266693241469845</v>
      </c>
    </row>
    <row r="142" spans="1:3" x14ac:dyDescent="0.25">
      <c r="B142" s="3"/>
      <c r="C142" s="3"/>
    </row>
    <row r="146" spans="1:2" x14ac:dyDescent="0.25">
      <c r="A146" s="1" t="s">
        <v>156</v>
      </c>
      <c r="B146" t="s">
        <v>154</v>
      </c>
    </row>
    <row r="147" spans="1:2" x14ac:dyDescent="0.25">
      <c r="A147" s="2" t="s">
        <v>25</v>
      </c>
      <c r="B147" s="5">
        <v>8661.9967923923796</v>
      </c>
    </row>
    <row r="148" spans="1:2" x14ac:dyDescent="0.25">
      <c r="A148" s="2" t="s">
        <v>34</v>
      </c>
      <c r="B148" s="5">
        <v>7460.9000654458396</v>
      </c>
    </row>
    <row r="149" spans="1:2" x14ac:dyDescent="0.25">
      <c r="A149" s="2" t="s">
        <v>63</v>
      </c>
      <c r="B149" s="5">
        <v>2330.9658020919401</v>
      </c>
    </row>
    <row r="150" spans="1:2" x14ac:dyDescent="0.25">
      <c r="A150" s="2" t="s">
        <v>65</v>
      </c>
      <c r="B150" s="5">
        <v>6099.9441155814502</v>
      </c>
    </row>
    <row r="151" spans="1:2" x14ac:dyDescent="0.25">
      <c r="A151" s="2" t="s">
        <v>66</v>
      </c>
      <c r="B151" s="5">
        <v>2873.74144602144</v>
      </c>
    </row>
    <row r="152" spans="1:2" x14ac:dyDescent="0.25">
      <c r="A152" s="2" t="s">
        <v>67</v>
      </c>
      <c r="B152" s="5">
        <v>4052.7384162378598</v>
      </c>
    </row>
    <row r="153" spans="1:2" x14ac:dyDescent="0.25">
      <c r="A153" s="2" t="s">
        <v>68</v>
      </c>
      <c r="B153" s="5">
        <v>8653.5709264697998</v>
      </c>
    </row>
    <row r="154" spans="1:2" x14ac:dyDescent="0.25">
      <c r="A154" s="2" t="s">
        <v>69</v>
      </c>
      <c r="B154" s="5">
        <v>5442.0867853976697</v>
      </c>
    </row>
    <row r="155" spans="1:2" x14ac:dyDescent="0.25">
      <c r="A155" s="2" t="s">
        <v>70</v>
      </c>
      <c r="B155" s="5">
        <v>6453.7979681762799</v>
      </c>
    </row>
    <row r="156" spans="1:2" x14ac:dyDescent="0.25">
      <c r="A156" s="2" t="s">
        <v>71</v>
      </c>
      <c r="B156" s="5">
        <v>2629.39643484526</v>
      </c>
    </row>
    <row r="157" spans="1:2" x14ac:dyDescent="0.25">
      <c r="A157" s="2" t="s">
        <v>72</v>
      </c>
      <c r="B157" s="5">
        <v>9364.6735050761708</v>
      </c>
    </row>
    <row r="158" spans="1:2" x14ac:dyDescent="0.25">
      <c r="A158" s="2" t="s">
        <v>73</v>
      </c>
      <c r="B158" s="5">
        <v>2553.4955849912099</v>
      </c>
    </row>
    <row r="159" spans="1:2" x14ac:dyDescent="0.25">
      <c r="A159" s="2" t="s">
        <v>37</v>
      </c>
      <c r="B159" s="5">
        <v>9577.7496258687297</v>
      </c>
    </row>
    <row r="160" spans="1:2" x14ac:dyDescent="0.25">
      <c r="A160" s="2" t="s">
        <v>74</v>
      </c>
      <c r="B160" s="5">
        <v>8128.0276968511898</v>
      </c>
    </row>
    <row r="161" spans="1:2" x14ac:dyDescent="0.25">
      <c r="A161" s="2" t="s">
        <v>75</v>
      </c>
      <c r="B161" s="5">
        <v>7087.0526963574302</v>
      </c>
    </row>
    <row r="162" spans="1:2" x14ac:dyDescent="0.25">
      <c r="A162" s="2" t="s">
        <v>76</v>
      </c>
      <c r="B162" s="5">
        <v>2390.8078665561702</v>
      </c>
    </row>
    <row r="163" spans="1:2" x14ac:dyDescent="0.25">
      <c r="A163" s="2" t="s">
        <v>77</v>
      </c>
      <c r="B163" s="5">
        <v>8858.3675710114803</v>
      </c>
    </row>
    <row r="164" spans="1:2" x14ac:dyDescent="0.25">
      <c r="A164" s="2" t="s">
        <v>78</v>
      </c>
      <c r="B164" s="5">
        <v>9049.0778609398894</v>
      </c>
    </row>
    <row r="165" spans="1:2" x14ac:dyDescent="0.25">
      <c r="A165" s="2" t="s">
        <v>79</v>
      </c>
      <c r="B165" s="5">
        <v>2174.7770543506499</v>
      </c>
    </row>
    <row r="166" spans="1:2" x14ac:dyDescent="0.25">
      <c r="A166" s="2" t="s">
        <v>80</v>
      </c>
      <c r="B166" s="5">
        <v>3716.49332589403</v>
      </c>
    </row>
    <row r="167" spans="1:2" x14ac:dyDescent="0.25">
      <c r="A167" s="2" t="s">
        <v>81</v>
      </c>
      <c r="B167" s="5">
        <v>2686.4572235759802</v>
      </c>
    </row>
    <row r="168" spans="1:2" x14ac:dyDescent="0.25">
      <c r="A168" s="2" t="s">
        <v>82</v>
      </c>
      <c r="B168" s="5">
        <v>6117.3246150839896</v>
      </c>
    </row>
    <row r="169" spans="1:2" x14ac:dyDescent="0.25">
      <c r="A169" s="2" t="s">
        <v>83</v>
      </c>
      <c r="B169" s="5">
        <v>8318.9031946171708</v>
      </c>
    </row>
    <row r="170" spans="1:2" x14ac:dyDescent="0.25">
      <c r="A170" s="2" t="s">
        <v>42</v>
      </c>
      <c r="B170" s="5">
        <v>7766.8364256852301</v>
      </c>
    </row>
    <row r="171" spans="1:2" x14ac:dyDescent="0.25">
      <c r="A171" s="2" t="s">
        <v>84</v>
      </c>
      <c r="B171" s="5">
        <v>2766.3423668660798</v>
      </c>
    </row>
    <row r="172" spans="1:2" x14ac:dyDescent="0.25">
      <c r="A172" s="2" t="s">
        <v>85</v>
      </c>
      <c r="B172" s="5">
        <v>9655.1351027193905</v>
      </c>
    </row>
    <row r="173" spans="1:2" x14ac:dyDescent="0.25">
      <c r="A173" s="2" t="s">
        <v>86</v>
      </c>
      <c r="B173" s="5">
        <v>9571.5504873278096</v>
      </c>
    </row>
    <row r="174" spans="1:2" x14ac:dyDescent="0.25">
      <c r="A174" s="2" t="s">
        <v>87</v>
      </c>
      <c r="B174" s="5">
        <v>5149.9983504080301</v>
      </c>
    </row>
    <row r="175" spans="1:2" x14ac:dyDescent="0.25">
      <c r="A175" s="2" t="s">
        <v>88</v>
      </c>
      <c r="B175" s="5">
        <v>9061.7108955077201</v>
      </c>
    </row>
    <row r="176" spans="1:2" x14ac:dyDescent="0.25">
      <c r="A176" s="2" t="s">
        <v>89</v>
      </c>
      <c r="B176" s="5">
        <v>6541.3293448024597</v>
      </c>
    </row>
    <row r="177" spans="1:2" x14ac:dyDescent="0.25">
      <c r="A177" s="2" t="s">
        <v>90</v>
      </c>
      <c r="B177" s="5">
        <v>7573.4024578487297</v>
      </c>
    </row>
    <row r="178" spans="1:2" x14ac:dyDescent="0.25">
      <c r="A178" s="2" t="s">
        <v>91</v>
      </c>
      <c r="B178" s="5">
        <v>2438.3399304700201</v>
      </c>
    </row>
    <row r="179" spans="1:2" x14ac:dyDescent="0.25">
      <c r="A179" s="2" t="s">
        <v>92</v>
      </c>
      <c r="B179" s="5">
        <v>9692.3180402184298</v>
      </c>
    </row>
    <row r="180" spans="1:2" x14ac:dyDescent="0.25">
      <c r="A180" s="2" t="s">
        <v>93</v>
      </c>
      <c r="B180" s="5">
        <v>1912.4656631007599</v>
      </c>
    </row>
    <row r="181" spans="1:2" x14ac:dyDescent="0.25">
      <c r="A181" s="2" t="s">
        <v>49</v>
      </c>
      <c r="B181" s="5">
        <v>2686.50515156744</v>
      </c>
    </row>
    <row r="182" spans="1:2" x14ac:dyDescent="0.25">
      <c r="A182" s="2" t="s">
        <v>94</v>
      </c>
      <c r="B182" s="5">
        <v>5724.9593504562599</v>
      </c>
    </row>
    <row r="183" spans="1:2" x14ac:dyDescent="0.25">
      <c r="A183" s="2" t="s">
        <v>95</v>
      </c>
      <c r="B183" s="5">
        <v>5521.2052590109697</v>
      </c>
    </row>
    <row r="184" spans="1:2" x14ac:dyDescent="0.25">
      <c r="A184" s="2" t="s">
        <v>96</v>
      </c>
      <c r="B184" s="5">
        <v>1839.60942585676</v>
      </c>
    </row>
    <row r="185" spans="1:2" x14ac:dyDescent="0.25">
      <c r="A185" s="2" t="s">
        <v>97</v>
      </c>
      <c r="B185" s="5">
        <v>5737.4255991190203</v>
      </c>
    </row>
    <row r="186" spans="1:2" x14ac:dyDescent="0.25">
      <c r="A186" s="2" t="s">
        <v>98</v>
      </c>
      <c r="B186" s="5">
        <v>7152.28604943551</v>
      </c>
    </row>
    <row r="187" spans="1:2" x14ac:dyDescent="0.25">
      <c r="A187" s="2" t="s">
        <v>99</v>
      </c>
      <c r="B187" s="5">
        <v>5267.9568075105199</v>
      </c>
    </row>
    <row r="188" spans="1:2" x14ac:dyDescent="0.25">
      <c r="A188" s="2" t="s">
        <v>100</v>
      </c>
      <c r="B188" s="5">
        <v>2556.7673606335902</v>
      </c>
    </row>
    <row r="189" spans="1:2" x14ac:dyDescent="0.25">
      <c r="A189" s="2" t="s">
        <v>101</v>
      </c>
      <c r="B189" s="5">
        <v>7089.4742499341801</v>
      </c>
    </row>
    <row r="190" spans="1:2" x14ac:dyDescent="0.25">
      <c r="A190" s="2" t="s">
        <v>102</v>
      </c>
      <c r="B190" s="5">
        <v>7397.0710045871801</v>
      </c>
    </row>
    <row r="191" spans="1:2" x14ac:dyDescent="0.25">
      <c r="A191" s="2" t="s">
        <v>103</v>
      </c>
      <c r="B191" s="5">
        <v>8001.6132065190004</v>
      </c>
    </row>
    <row r="192" spans="1:2" x14ac:dyDescent="0.25">
      <c r="A192" s="2" t="s">
        <v>51</v>
      </c>
      <c r="B192" s="5">
        <v>2828.3487459757498</v>
      </c>
    </row>
    <row r="193" spans="1:2" x14ac:dyDescent="0.25">
      <c r="A193" s="2" t="s">
        <v>104</v>
      </c>
      <c r="B193" s="5">
        <v>5910.8853896688897</v>
      </c>
    </row>
    <row r="194" spans="1:2" x14ac:dyDescent="0.25">
      <c r="A194" s="2" t="s">
        <v>105</v>
      </c>
      <c r="B194" s="5">
        <v>9866.4654579796897</v>
      </c>
    </row>
    <row r="195" spans="1:2" x14ac:dyDescent="0.25">
      <c r="A195" s="2" t="s">
        <v>106</v>
      </c>
      <c r="B195" s="5">
        <v>9435.7626089121295</v>
      </c>
    </row>
    <row r="196" spans="1:2" x14ac:dyDescent="0.25">
      <c r="A196" s="2" t="s">
        <v>107</v>
      </c>
      <c r="B196" s="5">
        <v>8232.3348294258194</v>
      </c>
    </row>
    <row r="197" spans="1:2" x14ac:dyDescent="0.25">
      <c r="A197" s="2" t="s">
        <v>108</v>
      </c>
      <c r="B197" s="5">
        <v>6088.0214799408504</v>
      </c>
    </row>
    <row r="198" spans="1:2" x14ac:dyDescent="0.25">
      <c r="A198" s="2" t="s">
        <v>109</v>
      </c>
      <c r="B198" s="5">
        <v>2925.6751703038099</v>
      </c>
    </row>
    <row r="199" spans="1:2" x14ac:dyDescent="0.25">
      <c r="A199" s="2" t="s">
        <v>110</v>
      </c>
      <c r="B199" s="5">
        <v>4767.0204843441297</v>
      </c>
    </row>
    <row r="200" spans="1:2" x14ac:dyDescent="0.25">
      <c r="A200" s="2" t="s">
        <v>111</v>
      </c>
      <c r="B200" s="5">
        <v>1605.8669003924001</v>
      </c>
    </row>
    <row r="201" spans="1:2" x14ac:dyDescent="0.25">
      <c r="A201" s="2" t="s">
        <v>112</v>
      </c>
      <c r="B201" s="5">
        <v>2021.1498103371</v>
      </c>
    </row>
    <row r="202" spans="1:2" x14ac:dyDescent="0.25">
      <c r="A202" s="2" t="s">
        <v>113</v>
      </c>
      <c r="B202" s="5">
        <v>1061.6185230132801</v>
      </c>
    </row>
    <row r="203" spans="1:2" x14ac:dyDescent="0.25">
      <c r="A203" s="2" t="s">
        <v>54</v>
      </c>
      <c r="B203" s="5">
        <v>7823.4765595317303</v>
      </c>
    </row>
    <row r="204" spans="1:2" x14ac:dyDescent="0.25">
      <c r="A204" s="2" t="s">
        <v>114</v>
      </c>
      <c r="B204" s="5">
        <v>8864.0843495864301</v>
      </c>
    </row>
    <row r="205" spans="1:2" x14ac:dyDescent="0.25">
      <c r="A205" s="2" t="s">
        <v>115</v>
      </c>
      <c r="B205" s="5">
        <v>6885.5893508962499</v>
      </c>
    </row>
    <row r="206" spans="1:2" x14ac:dyDescent="0.25">
      <c r="A206" s="2" t="s">
        <v>116</v>
      </c>
      <c r="B206" s="5">
        <v>3899.7468337292198</v>
      </c>
    </row>
    <row r="207" spans="1:2" x14ac:dyDescent="0.25">
      <c r="A207" s="2" t="s">
        <v>117</v>
      </c>
      <c r="B207" s="5">
        <v>4256.9491408502199</v>
      </c>
    </row>
    <row r="208" spans="1:2" x14ac:dyDescent="0.25">
      <c r="A208" s="2" t="s">
        <v>118</v>
      </c>
      <c r="B208" s="5">
        <v>8458.7308783671706</v>
      </c>
    </row>
    <row r="209" spans="1:2" x14ac:dyDescent="0.25">
      <c r="A209" s="2" t="s">
        <v>119</v>
      </c>
      <c r="B209" s="5">
        <v>8354.5796864819895</v>
      </c>
    </row>
    <row r="210" spans="1:2" x14ac:dyDescent="0.25">
      <c r="A210" s="2" t="s">
        <v>120</v>
      </c>
      <c r="B210" s="5">
        <v>8367.7216180201503</v>
      </c>
    </row>
    <row r="211" spans="1:2" x14ac:dyDescent="0.25">
      <c r="A211" s="2" t="s">
        <v>121</v>
      </c>
      <c r="B211" s="5">
        <v>9473.7980325083299</v>
      </c>
    </row>
    <row r="212" spans="1:2" x14ac:dyDescent="0.25">
      <c r="A212" s="2" t="s">
        <v>122</v>
      </c>
      <c r="B212" s="5">
        <v>3550.21843278099</v>
      </c>
    </row>
    <row r="213" spans="1:2" x14ac:dyDescent="0.25">
      <c r="A213" s="2" t="s">
        <v>123</v>
      </c>
      <c r="B213" s="5">
        <v>1752.3810874841199</v>
      </c>
    </row>
    <row r="214" spans="1:2" x14ac:dyDescent="0.25">
      <c r="A214" s="2" t="s">
        <v>58</v>
      </c>
      <c r="B214" s="5">
        <v>8496.1038130898305</v>
      </c>
    </row>
    <row r="215" spans="1:2" x14ac:dyDescent="0.25">
      <c r="A215" s="2" t="s">
        <v>124</v>
      </c>
      <c r="B215" s="5">
        <v>7014.8879872033804</v>
      </c>
    </row>
    <row r="216" spans="1:2" x14ac:dyDescent="0.25">
      <c r="A216" s="2" t="s">
        <v>125</v>
      </c>
      <c r="B216" s="5">
        <v>8180.3370854254399</v>
      </c>
    </row>
    <row r="217" spans="1:2" x14ac:dyDescent="0.25">
      <c r="A217" s="2" t="s">
        <v>126</v>
      </c>
      <c r="B217" s="5">
        <v>2633.1219813122498</v>
      </c>
    </row>
    <row r="218" spans="1:2" x14ac:dyDescent="0.25">
      <c r="A218" s="2" t="s">
        <v>127</v>
      </c>
      <c r="B218" s="5">
        <v>7910.8869161406801</v>
      </c>
    </row>
    <row r="219" spans="1:2" x14ac:dyDescent="0.25">
      <c r="A219" s="2" t="s">
        <v>128</v>
      </c>
      <c r="B219" s="5">
        <v>5709.9452959692799</v>
      </c>
    </row>
    <row r="220" spans="1:2" x14ac:dyDescent="0.25">
      <c r="A220" s="2" t="s">
        <v>129</v>
      </c>
      <c r="B220" s="5">
        <v>1889.07358977933</v>
      </c>
    </row>
    <row r="221" spans="1:2" x14ac:dyDescent="0.25">
      <c r="A221" s="2" t="s">
        <v>130</v>
      </c>
      <c r="B221" s="5">
        <v>5328.3759842977497</v>
      </c>
    </row>
    <row r="222" spans="1:2" x14ac:dyDescent="0.25">
      <c r="A222" s="2" t="s">
        <v>131</v>
      </c>
      <c r="B222" s="5">
        <v>2483.7601775427902</v>
      </c>
    </row>
    <row r="223" spans="1:2" x14ac:dyDescent="0.25">
      <c r="A223" s="2" t="s">
        <v>132</v>
      </c>
      <c r="B223" s="5">
        <v>1292.45841793775</v>
      </c>
    </row>
    <row r="224" spans="1:2" x14ac:dyDescent="0.25">
      <c r="A224" s="2" t="s">
        <v>133</v>
      </c>
      <c r="B224" s="5">
        <v>7888.7232684270803</v>
      </c>
    </row>
    <row r="225" spans="1:2" x14ac:dyDescent="0.25">
      <c r="A225" s="2" t="s">
        <v>59</v>
      </c>
      <c r="B225" s="5">
        <v>7517.3632106311197</v>
      </c>
    </row>
    <row r="226" spans="1:2" x14ac:dyDescent="0.25">
      <c r="A226" s="2" t="s">
        <v>134</v>
      </c>
      <c r="B226" s="5">
        <v>8651.67268298206</v>
      </c>
    </row>
    <row r="227" spans="1:2" x14ac:dyDescent="0.25">
      <c r="A227" s="2" t="s">
        <v>135</v>
      </c>
      <c r="B227" s="5">
        <v>4384.4134000458598</v>
      </c>
    </row>
    <row r="228" spans="1:2" x14ac:dyDescent="0.25">
      <c r="A228" s="2" t="s">
        <v>136</v>
      </c>
      <c r="B228" s="5">
        <v>2943.3818676094502</v>
      </c>
    </row>
    <row r="229" spans="1:2" x14ac:dyDescent="0.25">
      <c r="A229" s="2" t="s">
        <v>137</v>
      </c>
      <c r="B229" s="5">
        <v>2411.7546321104901</v>
      </c>
    </row>
    <row r="230" spans="1:2" x14ac:dyDescent="0.25">
      <c r="A230" s="2" t="s">
        <v>138</v>
      </c>
      <c r="B230" s="5">
        <v>2048.2900998487098</v>
      </c>
    </row>
    <row r="231" spans="1:2" x14ac:dyDescent="0.25">
      <c r="A231" s="2" t="s">
        <v>139</v>
      </c>
      <c r="B231" s="5">
        <v>8684.6130592538502</v>
      </c>
    </row>
    <row r="232" spans="1:2" x14ac:dyDescent="0.25">
      <c r="A232" s="2" t="s">
        <v>140</v>
      </c>
      <c r="B232" s="5">
        <v>1229.59102856498</v>
      </c>
    </row>
    <row r="233" spans="1:2" x14ac:dyDescent="0.25">
      <c r="A233" s="2" t="s">
        <v>141</v>
      </c>
      <c r="B233" s="5">
        <v>5133.8467010866898</v>
      </c>
    </row>
    <row r="234" spans="1:2" x14ac:dyDescent="0.25">
      <c r="A234" s="2" t="s">
        <v>142</v>
      </c>
      <c r="B234" s="5">
        <v>9444.7420330629793</v>
      </c>
    </row>
    <row r="235" spans="1:2" x14ac:dyDescent="0.25">
      <c r="A235" s="2" t="s">
        <v>143</v>
      </c>
      <c r="B235" s="5">
        <v>5924.6825668532301</v>
      </c>
    </row>
    <row r="236" spans="1:2" x14ac:dyDescent="0.25">
      <c r="A236" s="2" t="s">
        <v>60</v>
      </c>
      <c r="B236" s="5">
        <v>4971.1459875855498</v>
      </c>
    </row>
    <row r="237" spans="1:2" x14ac:dyDescent="0.25">
      <c r="A237" s="2" t="s">
        <v>144</v>
      </c>
      <c r="B237" s="5">
        <v>9592.6335702803099</v>
      </c>
    </row>
    <row r="238" spans="1:2" x14ac:dyDescent="0.25">
      <c r="A238" s="2" t="s">
        <v>145</v>
      </c>
      <c r="B238" s="5">
        <v>1935.20679350759</v>
      </c>
    </row>
    <row r="239" spans="1:2" x14ac:dyDescent="0.25">
      <c r="A239" s="2" t="s">
        <v>146</v>
      </c>
      <c r="B239" s="5">
        <v>2100.1297546259302</v>
      </c>
    </row>
    <row r="240" spans="1:2" x14ac:dyDescent="0.25">
      <c r="A240" s="2" t="s">
        <v>147</v>
      </c>
      <c r="B240" s="5">
        <v>4531.4021336919004</v>
      </c>
    </row>
    <row r="241" spans="1:2" x14ac:dyDescent="0.25">
      <c r="A241" s="2" t="s">
        <v>148</v>
      </c>
      <c r="B241" s="5">
        <v>7888.3565466618702</v>
      </c>
    </row>
    <row r="242" spans="1:2" x14ac:dyDescent="0.25">
      <c r="A242" s="2" t="s">
        <v>149</v>
      </c>
      <c r="B242" s="5">
        <v>7386.3639440486604</v>
      </c>
    </row>
    <row r="243" spans="1:2" x14ac:dyDescent="0.25">
      <c r="A243" s="2" t="s">
        <v>150</v>
      </c>
      <c r="B243" s="5">
        <v>7698.4247656321104</v>
      </c>
    </row>
    <row r="244" spans="1:2" x14ac:dyDescent="0.25">
      <c r="A244" s="2" t="s">
        <v>151</v>
      </c>
      <c r="B244" s="5">
        <v>4370.9165799845296</v>
      </c>
    </row>
    <row r="245" spans="1:2" x14ac:dyDescent="0.25">
      <c r="A245" s="2" t="s">
        <v>152</v>
      </c>
      <c r="B245" s="5">
        <v>8525.9525596835192</v>
      </c>
    </row>
    <row r="246" spans="1:2" x14ac:dyDescent="0.25">
      <c r="A246" s="2" t="s">
        <v>153</v>
      </c>
      <c r="B246" s="5">
        <v>9185.1858291817007</v>
      </c>
    </row>
    <row r="247" spans="1:2" x14ac:dyDescent="0.25">
      <c r="A247" s="6" t="s">
        <v>155</v>
      </c>
      <c r="B247" s="5">
        <v>577604.81873800803</v>
      </c>
    </row>
    <row r="251" spans="1:2" x14ac:dyDescent="0.25">
      <c r="A251" s="1" t="s">
        <v>156</v>
      </c>
      <c r="B251" t="s">
        <v>161</v>
      </c>
    </row>
    <row r="252" spans="1:2" x14ac:dyDescent="0.25">
      <c r="A252" s="2" t="s">
        <v>25</v>
      </c>
      <c r="B252" s="5">
        <v>58</v>
      </c>
    </row>
    <row r="253" spans="1:2" x14ac:dyDescent="0.25">
      <c r="A253" s="2" t="s">
        <v>34</v>
      </c>
      <c r="B253" s="5">
        <v>53</v>
      </c>
    </row>
    <row r="254" spans="1:2" x14ac:dyDescent="0.25">
      <c r="A254" s="2" t="s">
        <v>63</v>
      </c>
      <c r="B254" s="5">
        <v>51</v>
      </c>
    </row>
    <row r="255" spans="1:2" x14ac:dyDescent="0.25">
      <c r="A255" s="2" t="s">
        <v>65</v>
      </c>
      <c r="B255" s="5">
        <v>46</v>
      </c>
    </row>
    <row r="256" spans="1:2" x14ac:dyDescent="0.25">
      <c r="A256" s="2" t="s">
        <v>66</v>
      </c>
      <c r="B256" s="5">
        <v>100</v>
      </c>
    </row>
    <row r="257" spans="1:2" x14ac:dyDescent="0.25">
      <c r="A257" s="2" t="s">
        <v>67</v>
      </c>
      <c r="B257" s="5">
        <v>80</v>
      </c>
    </row>
    <row r="258" spans="1:2" x14ac:dyDescent="0.25">
      <c r="A258" s="2" t="s">
        <v>68</v>
      </c>
      <c r="B258" s="5">
        <v>54</v>
      </c>
    </row>
    <row r="259" spans="1:2" x14ac:dyDescent="0.25">
      <c r="A259" s="2" t="s">
        <v>69</v>
      </c>
      <c r="B259" s="5">
        <v>9</v>
      </c>
    </row>
    <row r="260" spans="1:2" x14ac:dyDescent="0.25">
      <c r="A260" s="2" t="s">
        <v>70</v>
      </c>
      <c r="B260" s="5">
        <v>2</v>
      </c>
    </row>
    <row r="261" spans="1:2" x14ac:dyDescent="0.25">
      <c r="A261" s="2" t="s">
        <v>71</v>
      </c>
      <c r="B261" s="5">
        <v>45</v>
      </c>
    </row>
    <row r="262" spans="1:2" x14ac:dyDescent="0.25">
      <c r="A262" s="2" t="s">
        <v>72</v>
      </c>
      <c r="B262" s="5">
        <v>10</v>
      </c>
    </row>
    <row r="263" spans="1:2" x14ac:dyDescent="0.25">
      <c r="A263" s="2" t="s">
        <v>73</v>
      </c>
      <c r="B263" s="5">
        <v>48</v>
      </c>
    </row>
    <row r="264" spans="1:2" x14ac:dyDescent="0.25">
      <c r="A264" s="2" t="s">
        <v>37</v>
      </c>
      <c r="B264" s="5">
        <v>1</v>
      </c>
    </row>
    <row r="265" spans="1:2" x14ac:dyDescent="0.25">
      <c r="A265" s="2" t="s">
        <v>74</v>
      </c>
      <c r="B265" s="5">
        <v>27</v>
      </c>
    </row>
    <row r="266" spans="1:2" x14ac:dyDescent="0.25">
      <c r="A266" s="2" t="s">
        <v>75</v>
      </c>
      <c r="B266" s="5">
        <v>69</v>
      </c>
    </row>
    <row r="267" spans="1:2" x14ac:dyDescent="0.25">
      <c r="A267" s="2" t="s">
        <v>76</v>
      </c>
      <c r="B267" s="5">
        <v>71</v>
      </c>
    </row>
    <row r="268" spans="1:2" x14ac:dyDescent="0.25">
      <c r="A268" s="2" t="s">
        <v>77</v>
      </c>
      <c r="B268" s="5">
        <v>84</v>
      </c>
    </row>
    <row r="269" spans="1:2" x14ac:dyDescent="0.25">
      <c r="A269" s="2" t="s">
        <v>78</v>
      </c>
      <c r="B269" s="5">
        <v>4</v>
      </c>
    </row>
    <row r="270" spans="1:2" x14ac:dyDescent="0.25">
      <c r="A270" s="2" t="s">
        <v>79</v>
      </c>
      <c r="B270" s="5">
        <v>82</v>
      </c>
    </row>
    <row r="271" spans="1:2" x14ac:dyDescent="0.25">
      <c r="A271" s="2" t="s">
        <v>80</v>
      </c>
      <c r="B271" s="5">
        <v>59</v>
      </c>
    </row>
    <row r="272" spans="1:2" x14ac:dyDescent="0.25">
      <c r="A272" s="2" t="s">
        <v>81</v>
      </c>
      <c r="B272" s="5">
        <v>47</v>
      </c>
    </row>
    <row r="273" spans="1:2" x14ac:dyDescent="0.25">
      <c r="A273" s="2" t="s">
        <v>82</v>
      </c>
      <c r="B273" s="5">
        <v>48</v>
      </c>
    </row>
    <row r="274" spans="1:2" x14ac:dyDescent="0.25">
      <c r="A274" s="2" t="s">
        <v>83</v>
      </c>
      <c r="B274" s="5">
        <v>45</v>
      </c>
    </row>
    <row r="275" spans="1:2" x14ac:dyDescent="0.25">
      <c r="A275" s="2" t="s">
        <v>42</v>
      </c>
      <c r="B275" s="5">
        <v>23</v>
      </c>
    </row>
    <row r="276" spans="1:2" x14ac:dyDescent="0.25">
      <c r="A276" s="2" t="s">
        <v>84</v>
      </c>
      <c r="B276" s="5">
        <v>60</v>
      </c>
    </row>
    <row r="277" spans="1:2" x14ac:dyDescent="0.25">
      <c r="A277" s="2" t="s">
        <v>85</v>
      </c>
      <c r="B277" s="5">
        <v>6</v>
      </c>
    </row>
    <row r="278" spans="1:2" x14ac:dyDescent="0.25">
      <c r="A278" s="2" t="s">
        <v>86</v>
      </c>
      <c r="B278" s="5">
        <v>89</v>
      </c>
    </row>
    <row r="279" spans="1:2" x14ac:dyDescent="0.25">
      <c r="A279" s="2" t="s">
        <v>87</v>
      </c>
      <c r="B279" s="5">
        <v>4</v>
      </c>
    </row>
    <row r="280" spans="1:2" x14ac:dyDescent="0.25">
      <c r="A280" s="2" t="s">
        <v>88</v>
      </c>
      <c r="B280" s="5">
        <v>1</v>
      </c>
    </row>
    <row r="281" spans="1:2" x14ac:dyDescent="0.25">
      <c r="A281" s="2" t="s">
        <v>89</v>
      </c>
      <c r="B281" s="5">
        <v>42</v>
      </c>
    </row>
    <row r="282" spans="1:2" x14ac:dyDescent="0.25">
      <c r="A282" s="2" t="s">
        <v>90</v>
      </c>
      <c r="B282" s="5">
        <v>18</v>
      </c>
    </row>
    <row r="283" spans="1:2" x14ac:dyDescent="0.25">
      <c r="A283" s="2" t="s">
        <v>91</v>
      </c>
      <c r="B283" s="5">
        <v>25</v>
      </c>
    </row>
    <row r="284" spans="1:2" x14ac:dyDescent="0.25">
      <c r="A284" s="2" t="s">
        <v>92</v>
      </c>
      <c r="B284" s="5">
        <v>69</v>
      </c>
    </row>
    <row r="285" spans="1:2" x14ac:dyDescent="0.25">
      <c r="A285" s="2" t="s">
        <v>93</v>
      </c>
      <c r="B285" s="5">
        <v>78</v>
      </c>
    </row>
    <row r="286" spans="1:2" x14ac:dyDescent="0.25">
      <c r="A286" s="2" t="s">
        <v>49</v>
      </c>
      <c r="B286" s="5">
        <v>5</v>
      </c>
    </row>
    <row r="287" spans="1:2" x14ac:dyDescent="0.25">
      <c r="A287" s="2" t="s">
        <v>94</v>
      </c>
      <c r="B287" s="5">
        <v>90</v>
      </c>
    </row>
    <row r="288" spans="1:2" x14ac:dyDescent="0.25">
      <c r="A288" s="2" t="s">
        <v>95</v>
      </c>
      <c r="B288" s="5">
        <v>64</v>
      </c>
    </row>
    <row r="289" spans="1:2" x14ac:dyDescent="0.25">
      <c r="A289" s="2" t="s">
        <v>96</v>
      </c>
      <c r="B289" s="5">
        <v>22</v>
      </c>
    </row>
    <row r="290" spans="1:2" x14ac:dyDescent="0.25">
      <c r="A290" s="2" t="s">
        <v>97</v>
      </c>
      <c r="B290" s="5">
        <v>36</v>
      </c>
    </row>
    <row r="291" spans="1:2" x14ac:dyDescent="0.25">
      <c r="A291" s="2" t="s">
        <v>98</v>
      </c>
      <c r="B291" s="5">
        <v>13</v>
      </c>
    </row>
    <row r="292" spans="1:2" x14ac:dyDescent="0.25">
      <c r="A292" s="2" t="s">
        <v>99</v>
      </c>
      <c r="B292" s="5">
        <v>93</v>
      </c>
    </row>
    <row r="293" spans="1:2" x14ac:dyDescent="0.25">
      <c r="A293" s="2" t="s">
        <v>100</v>
      </c>
      <c r="B293" s="5">
        <v>92</v>
      </c>
    </row>
    <row r="294" spans="1:2" x14ac:dyDescent="0.25">
      <c r="A294" s="2" t="s">
        <v>101</v>
      </c>
      <c r="B294" s="5">
        <v>4</v>
      </c>
    </row>
    <row r="295" spans="1:2" x14ac:dyDescent="0.25">
      <c r="A295" s="2" t="s">
        <v>102</v>
      </c>
      <c r="B295" s="5">
        <v>30</v>
      </c>
    </row>
    <row r="296" spans="1:2" x14ac:dyDescent="0.25">
      <c r="A296" s="2" t="s">
        <v>103</v>
      </c>
      <c r="B296" s="5">
        <v>97</v>
      </c>
    </row>
    <row r="297" spans="1:2" x14ac:dyDescent="0.25">
      <c r="A297" s="2" t="s">
        <v>51</v>
      </c>
      <c r="B297" s="5">
        <v>90</v>
      </c>
    </row>
    <row r="298" spans="1:2" x14ac:dyDescent="0.25">
      <c r="A298" s="2" t="s">
        <v>104</v>
      </c>
      <c r="B298" s="5">
        <v>31</v>
      </c>
    </row>
    <row r="299" spans="1:2" x14ac:dyDescent="0.25">
      <c r="A299" s="2" t="s">
        <v>105</v>
      </c>
      <c r="B299" s="5">
        <v>100</v>
      </c>
    </row>
    <row r="300" spans="1:2" x14ac:dyDescent="0.25">
      <c r="A300" s="2" t="s">
        <v>106</v>
      </c>
      <c r="B300" s="5">
        <v>64</v>
      </c>
    </row>
    <row r="301" spans="1:2" x14ac:dyDescent="0.25">
      <c r="A301" s="2" t="s">
        <v>107</v>
      </c>
      <c r="B301" s="5">
        <v>96</v>
      </c>
    </row>
    <row r="302" spans="1:2" x14ac:dyDescent="0.25">
      <c r="A302" s="2" t="s">
        <v>108</v>
      </c>
      <c r="B302" s="5">
        <v>33</v>
      </c>
    </row>
    <row r="303" spans="1:2" x14ac:dyDescent="0.25">
      <c r="A303" s="2" t="s">
        <v>109</v>
      </c>
      <c r="B303" s="5">
        <v>97</v>
      </c>
    </row>
    <row r="304" spans="1:2" x14ac:dyDescent="0.25">
      <c r="A304" s="2" t="s">
        <v>110</v>
      </c>
      <c r="B304" s="5">
        <v>25</v>
      </c>
    </row>
    <row r="305" spans="1:2" x14ac:dyDescent="0.25">
      <c r="A305" s="2" t="s">
        <v>111</v>
      </c>
      <c r="B305" s="5">
        <v>5</v>
      </c>
    </row>
    <row r="306" spans="1:2" x14ac:dyDescent="0.25">
      <c r="A306" s="2" t="s">
        <v>112</v>
      </c>
      <c r="B306" s="5">
        <v>10</v>
      </c>
    </row>
    <row r="307" spans="1:2" x14ac:dyDescent="0.25">
      <c r="A307" s="2" t="s">
        <v>113</v>
      </c>
      <c r="B307" s="5">
        <v>100</v>
      </c>
    </row>
    <row r="308" spans="1:2" x14ac:dyDescent="0.25">
      <c r="A308" s="2" t="s">
        <v>54</v>
      </c>
      <c r="B308" s="5">
        <v>11</v>
      </c>
    </row>
    <row r="309" spans="1:2" x14ac:dyDescent="0.25">
      <c r="A309" s="2" t="s">
        <v>114</v>
      </c>
      <c r="B309" s="5">
        <v>41</v>
      </c>
    </row>
    <row r="310" spans="1:2" x14ac:dyDescent="0.25">
      <c r="A310" s="2" t="s">
        <v>115</v>
      </c>
      <c r="B310" s="5">
        <v>32</v>
      </c>
    </row>
    <row r="311" spans="1:2" x14ac:dyDescent="0.25">
      <c r="A311" s="2" t="s">
        <v>116</v>
      </c>
      <c r="B311" s="5">
        <v>86</v>
      </c>
    </row>
    <row r="312" spans="1:2" x14ac:dyDescent="0.25">
      <c r="A312" s="2" t="s">
        <v>117</v>
      </c>
      <c r="B312" s="5">
        <v>54</v>
      </c>
    </row>
    <row r="313" spans="1:2" x14ac:dyDescent="0.25">
      <c r="A313" s="2" t="s">
        <v>118</v>
      </c>
      <c r="B313" s="5">
        <v>73</v>
      </c>
    </row>
    <row r="314" spans="1:2" x14ac:dyDescent="0.25">
      <c r="A314" s="2" t="s">
        <v>119</v>
      </c>
      <c r="B314" s="5">
        <v>57</v>
      </c>
    </row>
    <row r="315" spans="1:2" x14ac:dyDescent="0.25">
      <c r="A315" s="2" t="s">
        <v>120</v>
      </c>
      <c r="B315" s="5">
        <v>13</v>
      </c>
    </row>
    <row r="316" spans="1:2" x14ac:dyDescent="0.25">
      <c r="A316" s="2" t="s">
        <v>121</v>
      </c>
      <c r="B316" s="5">
        <v>12</v>
      </c>
    </row>
    <row r="317" spans="1:2" x14ac:dyDescent="0.25">
      <c r="A317" s="2" t="s">
        <v>122</v>
      </c>
      <c r="B317" s="5">
        <v>0</v>
      </c>
    </row>
    <row r="318" spans="1:2" x14ac:dyDescent="0.25">
      <c r="A318" s="2" t="s">
        <v>123</v>
      </c>
      <c r="B318" s="5">
        <v>95</v>
      </c>
    </row>
    <row r="319" spans="1:2" x14ac:dyDescent="0.25">
      <c r="A319" s="2" t="s">
        <v>58</v>
      </c>
      <c r="B319" s="5">
        <v>93</v>
      </c>
    </row>
    <row r="320" spans="1:2" x14ac:dyDescent="0.25">
      <c r="A320" s="2" t="s">
        <v>124</v>
      </c>
      <c r="B320" s="5">
        <v>10</v>
      </c>
    </row>
    <row r="321" spans="1:2" x14ac:dyDescent="0.25">
      <c r="A321" s="2" t="s">
        <v>125</v>
      </c>
      <c r="B321" s="5">
        <v>76</v>
      </c>
    </row>
    <row r="322" spans="1:2" x14ac:dyDescent="0.25">
      <c r="A322" s="2" t="s">
        <v>126</v>
      </c>
      <c r="B322" s="5">
        <v>57</v>
      </c>
    </row>
    <row r="323" spans="1:2" x14ac:dyDescent="0.25">
      <c r="A323" s="2" t="s">
        <v>127</v>
      </c>
      <c r="B323" s="5">
        <v>17</v>
      </c>
    </row>
    <row r="324" spans="1:2" x14ac:dyDescent="0.25">
      <c r="A324" s="2" t="s">
        <v>128</v>
      </c>
      <c r="B324" s="5">
        <v>41</v>
      </c>
    </row>
    <row r="325" spans="1:2" x14ac:dyDescent="0.25">
      <c r="A325" s="2" t="s">
        <v>129</v>
      </c>
      <c r="B325" s="5">
        <v>16</v>
      </c>
    </row>
    <row r="326" spans="1:2" x14ac:dyDescent="0.25">
      <c r="A326" s="2" t="s">
        <v>130</v>
      </c>
      <c r="B326" s="5">
        <v>38</v>
      </c>
    </row>
    <row r="327" spans="1:2" x14ac:dyDescent="0.25">
      <c r="A327" s="2" t="s">
        <v>131</v>
      </c>
      <c r="B327" s="5">
        <v>96</v>
      </c>
    </row>
    <row r="328" spans="1:2" x14ac:dyDescent="0.25">
      <c r="A328" s="2" t="s">
        <v>132</v>
      </c>
      <c r="B328" s="5">
        <v>5</v>
      </c>
    </row>
    <row r="329" spans="1:2" x14ac:dyDescent="0.25">
      <c r="A329" s="2" t="s">
        <v>133</v>
      </c>
      <c r="B329" s="5">
        <v>31</v>
      </c>
    </row>
    <row r="330" spans="1:2" x14ac:dyDescent="0.25">
      <c r="A330" s="2" t="s">
        <v>59</v>
      </c>
      <c r="B330" s="5">
        <v>5</v>
      </c>
    </row>
    <row r="331" spans="1:2" x14ac:dyDescent="0.25">
      <c r="A331" s="2" t="s">
        <v>134</v>
      </c>
      <c r="B331" s="5">
        <v>39</v>
      </c>
    </row>
    <row r="332" spans="1:2" x14ac:dyDescent="0.25">
      <c r="A332" s="2" t="s">
        <v>135</v>
      </c>
      <c r="B332" s="5">
        <v>48</v>
      </c>
    </row>
    <row r="333" spans="1:2" x14ac:dyDescent="0.25">
      <c r="A333" s="2" t="s">
        <v>136</v>
      </c>
      <c r="B333" s="5">
        <v>42</v>
      </c>
    </row>
    <row r="334" spans="1:2" x14ac:dyDescent="0.25">
      <c r="A334" s="2" t="s">
        <v>137</v>
      </c>
      <c r="B334" s="5">
        <v>65</v>
      </c>
    </row>
    <row r="335" spans="1:2" x14ac:dyDescent="0.25">
      <c r="A335" s="2" t="s">
        <v>138</v>
      </c>
      <c r="B335" s="5">
        <v>73</v>
      </c>
    </row>
    <row r="336" spans="1:2" x14ac:dyDescent="0.25">
      <c r="A336" s="2" t="s">
        <v>139</v>
      </c>
      <c r="B336" s="5">
        <v>15</v>
      </c>
    </row>
    <row r="337" spans="1:2" x14ac:dyDescent="0.25">
      <c r="A337" s="2" t="s">
        <v>140</v>
      </c>
      <c r="B337" s="5">
        <v>32</v>
      </c>
    </row>
    <row r="338" spans="1:2" x14ac:dyDescent="0.25">
      <c r="A338" s="2" t="s">
        <v>141</v>
      </c>
      <c r="B338" s="5">
        <v>5</v>
      </c>
    </row>
    <row r="339" spans="1:2" x14ac:dyDescent="0.25">
      <c r="A339" s="2" t="s">
        <v>142</v>
      </c>
      <c r="B339" s="5">
        <v>60</v>
      </c>
    </row>
    <row r="340" spans="1:2" x14ac:dyDescent="0.25">
      <c r="A340" s="2" t="s">
        <v>143</v>
      </c>
      <c r="B340" s="5">
        <v>90</v>
      </c>
    </row>
    <row r="341" spans="1:2" x14ac:dyDescent="0.25">
      <c r="A341" s="2" t="s">
        <v>60</v>
      </c>
      <c r="B341" s="5">
        <v>14</v>
      </c>
    </row>
    <row r="342" spans="1:2" x14ac:dyDescent="0.25">
      <c r="A342" s="2" t="s">
        <v>144</v>
      </c>
      <c r="B342" s="5">
        <v>66</v>
      </c>
    </row>
    <row r="343" spans="1:2" x14ac:dyDescent="0.25">
      <c r="A343" s="2" t="s">
        <v>145</v>
      </c>
      <c r="B343" s="5">
        <v>98</v>
      </c>
    </row>
    <row r="344" spans="1:2" x14ac:dyDescent="0.25">
      <c r="A344" s="2" t="s">
        <v>146</v>
      </c>
      <c r="B344" s="5">
        <v>90</v>
      </c>
    </row>
    <row r="345" spans="1:2" x14ac:dyDescent="0.25">
      <c r="A345" s="2" t="s">
        <v>147</v>
      </c>
      <c r="B345" s="5">
        <v>63</v>
      </c>
    </row>
    <row r="346" spans="1:2" x14ac:dyDescent="0.25">
      <c r="A346" s="2" t="s">
        <v>148</v>
      </c>
      <c r="B346" s="5">
        <v>77</v>
      </c>
    </row>
    <row r="347" spans="1:2" x14ac:dyDescent="0.25">
      <c r="A347" s="2" t="s">
        <v>149</v>
      </c>
      <c r="B347" s="5">
        <v>15</v>
      </c>
    </row>
    <row r="348" spans="1:2" x14ac:dyDescent="0.25">
      <c r="A348" s="2" t="s">
        <v>150</v>
      </c>
      <c r="B348" s="5">
        <v>67</v>
      </c>
    </row>
    <row r="349" spans="1:2" x14ac:dyDescent="0.25">
      <c r="A349" s="2" t="s">
        <v>151</v>
      </c>
      <c r="B349" s="5">
        <v>46</v>
      </c>
    </row>
    <row r="350" spans="1:2" x14ac:dyDescent="0.25">
      <c r="A350" s="2" t="s">
        <v>152</v>
      </c>
      <c r="B350" s="5">
        <v>53</v>
      </c>
    </row>
    <row r="351" spans="1:2" x14ac:dyDescent="0.25">
      <c r="A351" s="2" t="s">
        <v>153</v>
      </c>
      <c r="B351" s="5">
        <v>55</v>
      </c>
    </row>
    <row r="352" spans="1:2" x14ac:dyDescent="0.25">
      <c r="A352" s="6" t="s">
        <v>155</v>
      </c>
      <c r="B352" s="5">
        <v>4777</v>
      </c>
    </row>
    <row r="357" spans="1:2" x14ac:dyDescent="0.25">
      <c r="A357" s="1" t="s">
        <v>156</v>
      </c>
      <c r="B357" t="s">
        <v>162</v>
      </c>
    </row>
    <row r="358" spans="1:2" x14ac:dyDescent="0.25">
      <c r="A358" s="2" t="s">
        <v>25</v>
      </c>
      <c r="B358" s="5">
        <v>96</v>
      </c>
    </row>
    <row r="359" spans="1:2" x14ac:dyDescent="0.25">
      <c r="A359" s="2" t="s">
        <v>34</v>
      </c>
      <c r="B359" s="5">
        <v>37</v>
      </c>
    </row>
    <row r="360" spans="1:2" x14ac:dyDescent="0.25">
      <c r="A360" s="2" t="s">
        <v>63</v>
      </c>
      <c r="B360" s="5">
        <v>80</v>
      </c>
    </row>
    <row r="361" spans="1:2" x14ac:dyDescent="0.25">
      <c r="A361" s="2" t="s">
        <v>65</v>
      </c>
      <c r="B361" s="5">
        <v>60</v>
      </c>
    </row>
    <row r="362" spans="1:2" x14ac:dyDescent="0.25">
      <c r="A362" s="2" t="s">
        <v>66</v>
      </c>
      <c r="B362" s="5">
        <v>85</v>
      </c>
    </row>
    <row r="363" spans="1:2" x14ac:dyDescent="0.25">
      <c r="A363" s="2" t="s">
        <v>67</v>
      </c>
      <c r="B363" s="5">
        <v>48</v>
      </c>
    </row>
    <row r="364" spans="1:2" x14ac:dyDescent="0.25">
      <c r="A364" s="2" t="s">
        <v>68</v>
      </c>
      <c r="B364" s="5">
        <v>78</v>
      </c>
    </row>
    <row r="365" spans="1:2" x14ac:dyDescent="0.25">
      <c r="A365" s="2" t="s">
        <v>69</v>
      </c>
      <c r="B365" s="5">
        <v>69</v>
      </c>
    </row>
    <row r="366" spans="1:2" x14ac:dyDescent="0.25">
      <c r="A366" s="2" t="s">
        <v>70</v>
      </c>
      <c r="B366" s="5">
        <v>78</v>
      </c>
    </row>
    <row r="367" spans="1:2" x14ac:dyDescent="0.25">
      <c r="A367" s="2" t="s">
        <v>71</v>
      </c>
      <c r="B367" s="5">
        <v>85</v>
      </c>
    </row>
    <row r="368" spans="1:2" x14ac:dyDescent="0.25">
      <c r="A368" s="2" t="s">
        <v>72</v>
      </c>
      <c r="B368" s="5">
        <v>46</v>
      </c>
    </row>
    <row r="369" spans="1:2" x14ac:dyDescent="0.25">
      <c r="A369" s="2" t="s">
        <v>73</v>
      </c>
      <c r="B369" s="5">
        <v>94</v>
      </c>
    </row>
    <row r="370" spans="1:2" x14ac:dyDescent="0.25">
      <c r="A370" s="2" t="s">
        <v>37</v>
      </c>
      <c r="B370" s="5">
        <v>88</v>
      </c>
    </row>
    <row r="371" spans="1:2" x14ac:dyDescent="0.25">
      <c r="A371" s="2" t="s">
        <v>74</v>
      </c>
      <c r="B371" s="5">
        <v>68</v>
      </c>
    </row>
    <row r="372" spans="1:2" x14ac:dyDescent="0.25">
      <c r="A372" s="2" t="s">
        <v>75</v>
      </c>
      <c r="B372" s="5">
        <v>7</v>
      </c>
    </row>
    <row r="373" spans="1:2" x14ac:dyDescent="0.25">
      <c r="A373" s="2" t="s">
        <v>76</v>
      </c>
      <c r="B373" s="5">
        <v>63</v>
      </c>
    </row>
    <row r="374" spans="1:2" x14ac:dyDescent="0.25">
      <c r="A374" s="2" t="s">
        <v>77</v>
      </c>
      <c r="B374" s="5">
        <v>29</v>
      </c>
    </row>
    <row r="375" spans="1:2" x14ac:dyDescent="0.25">
      <c r="A375" s="2" t="s">
        <v>78</v>
      </c>
      <c r="B375" s="5">
        <v>2</v>
      </c>
    </row>
    <row r="376" spans="1:2" x14ac:dyDescent="0.25">
      <c r="A376" s="2" t="s">
        <v>79</v>
      </c>
      <c r="B376" s="5">
        <v>52</v>
      </c>
    </row>
    <row r="377" spans="1:2" x14ac:dyDescent="0.25">
      <c r="A377" s="2" t="s">
        <v>80</v>
      </c>
      <c r="B377" s="5">
        <v>48</v>
      </c>
    </row>
    <row r="378" spans="1:2" x14ac:dyDescent="0.25">
      <c r="A378" s="2" t="s">
        <v>81</v>
      </c>
      <c r="B378" s="5">
        <v>62</v>
      </c>
    </row>
    <row r="379" spans="1:2" x14ac:dyDescent="0.25">
      <c r="A379" s="2" t="s">
        <v>82</v>
      </c>
      <c r="B379" s="5">
        <v>24</v>
      </c>
    </row>
    <row r="380" spans="1:2" x14ac:dyDescent="0.25">
      <c r="A380" s="2" t="s">
        <v>83</v>
      </c>
      <c r="B380" s="5">
        <v>67</v>
      </c>
    </row>
    <row r="381" spans="1:2" x14ac:dyDescent="0.25">
      <c r="A381" s="2" t="s">
        <v>42</v>
      </c>
      <c r="B381" s="5">
        <v>59</v>
      </c>
    </row>
    <row r="382" spans="1:2" x14ac:dyDescent="0.25">
      <c r="A382" s="2" t="s">
        <v>84</v>
      </c>
      <c r="B382" s="5">
        <v>35</v>
      </c>
    </row>
    <row r="383" spans="1:2" x14ac:dyDescent="0.25">
      <c r="A383" s="2" t="s">
        <v>85</v>
      </c>
      <c r="B383" s="5">
        <v>44</v>
      </c>
    </row>
    <row r="384" spans="1:2" x14ac:dyDescent="0.25">
      <c r="A384" s="2" t="s">
        <v>86</v>
      </c>
      <c r="B384" s="5">
        <v>64</v>
      </c>
    </row>
    <row r="385" spans="1:2" x14ac:dyDescent="0.25">
      <c r="A385" s="2" t="s">
        <v>87</v>
      </c>
      <c r="B385" s="5">
        <v>95</v>
      </c>
    </row>
    <row r="386" spans="1:2" x14ac:dyDescent="0.25">
      <c r="A386" s="2" t="s">
        <v>88</v>
      </c>
      <c r="B386" s="5">
        <v>21</v>
      </c>
    </row>
    <row r="387" spans="1:2" x14ac:dyDescent="0.25">
      <c r="A387" s="2" t="s">
        <v>89</v>
      </c>
      <c r="B387" s="5">
        <v>85</v>
      </c>
    </row>
    <row r="388" spans="1:2" x14ac:dyDescent="0.25">
      <c r="A388" s="2" t="s">
        <v>90</v>
      </c>
      <c r="B388" s="5">
        <v>28</v>
      </c>
    </row>
    <row r="389" spans="1:2" x14ac:dyDescent="0.25">
      <c r="A389" s="2" t="s">
        <v>91</v>
      </c>
      <c r="B389" s="5">
        <v>21</v>
      </c>
    </row>
    <row r="390" spans="1:2" x14ac:dyDescent="0.25">
      <c r="A390" s="2" t="s">
        <v>92</v>
      </c>
      <c r="B390" s="5">
        <v>88</v>
      </c>
    </row>
    <row r="391" spans="1:2" x14ac:dyDescent="0.25">
      <c r="A391" s="2" t="s">
        <v>93</v>
      </c>
      <c r="B391" s="5">
        <v>34</v>
      </c>
    </row>
    <row r="392" spans="1:2" x14ac:dyDescent="0.25">
      <c r="A392" s="2" t="s">
        <v>49</v>
      </c>
      <c r="B392" s="5">
        <v>56</v>
      </c>
    </row>
    <row r="393" spans="1:2" x14ac:dyDescent="0.25">
      <c r="A393" s="2" t="s">
        <v>94</v>
      </c>
      <c r="B393" s="5">
        <v>39</v>
      </c>
    </row>
    <row r="394" spans="1:2" x14ac:dyDescent="0.25">
      <c r="A394" s="2" t="s">
        <v>95</v>
      </c>
      <c r="B394" s="5">
        <v>38</v>
      </c>
    </row>
    <row r="395" spans="1:2" x14ac:dyDescent="0.25">
      <c r="A395" s="2" t="s">
        <v>96</v>
      </c>
      <c r="B395" s="5">
        <v>57</v>
      </c>
    </row>
    <row r="396" spans="1:2" x14ac:dyDescent="0.25">
      <c r="A396" s="2" t="s">
        <v>97</v>
      </c>
      <c r="B396" s="5">
        <v>85</v>
      </c>
    </row>
    <row r="397" spans="1:2" x14ac:dyDescent="0.25">
      <c r="A397" s="2" t="s">
        <v>98</v>
      </c>
      <c r="B397" s="5">
        <v>72</v>
      </c>
    </row>
    <row r="398" spans="1:2" x14ac:dyDescent="0.25">
      <c r="A398" s="2" t="s">
        <v>99</v>
      </c>
      <c r="B398" s="5">
        <v>52</v>
      </c>
    </row>
    <row r="399" spans="1:2" x14ac:dyDescent="0.25">
      <c r="A399" s="2" t="s">
        <v>100</v>
      </c>
      <c r="B399" s="5">
        <v>6</v>
      </c>
    </row>
    <row r="400" spans="1:2" x14ac:dyDescent="0.25">
      <c r="A400" s="2" t="s">
        <v>101</v>
      </c>
      <c r="B400" s="5">
        <v>51</v>
      </c>
    </row>
    <row r="401" spans="1:2" x14ac:dyDescent="0.25">
      <c r="A401" s="2" t="s">
        <v>102</v>
      </c>
      <c r="B401" s="5">
        <v>9</v>
      </c>
    </row>
    <row r="402" spans="1:2" x14ac:dyDescent="0.25">
      <c r="A402" s="2" t="s">
        <v>103</v>
      </c>
      <c r="B402" s="5">
        <v>9</v>
      </c>
    </row>
    <row r="403" spans="1:2" x14ac:dyDescent="0.25">
      <c r="A403" s="2" t="s">
        <v>51</v>
      </c>
      <c r="B403" s="5">
        <v>66</v>
      </c>
    </row>
    <row r="404" spans="1:2" x14ac:dyDescent="0.25">
      <c r="A404" s="2" t="s">
        <v>104</v>
      </c>
      <c r="B404" s="5">
        <v>82</v>
      </c>
    </row>
    <row r="405" spans="1:2" x14ac:dyDescent="0.25">
      <c r="A405" s="2" t="s">
        <v>105</v>
      </c>
      <c r="B405" s="5">
        <v>52</v>
      </c>
    </row>
    <row r="406" spans="1:2" x14ac:dyDescent="0.25">
      <c r="A406" s="2" t="s">
        <v>106</v>
      </c>
      <c r="B406" s="5">
        <v>11</v>
      </c>
    </row>
    <row r="407" spans="1:2" x14ac:dyDescent="0.25">
      <c r="A407" s="2" t="s">
        <v>107</v>
      </c>
      <c r="B407" s="5">
        <v>54</v>
      </c>
    </row>
    <row r="408" spans="1:2" x14ac:dyDescent="0.25">
      <c r="A408" s="2" t="s">
        <v>108</v>
      </c>
      <c r="B408" s="5">
        <v>61</v>
      </c>
    </row>
    <row r="409" spans="1:2" x14ac:dyDescent="0.25">
      <c r="A409" s="2" t="s">
        <v>109</v>
      </c>
      <c r="B409" s="5">
        <v>11</v>
      </c>
    </row>
    <row r="410" spans="1:2" x14ac:dyDescent="0.25">
      <c r="A410" s="2" t="s">
        <v>110</v>
      </c>
      <c r="B410" s="5">
        <v>83</v>
      </c>
    </row>
    <row r="411" spans="1:2" x14ac:dyDescent="0.25">
      <c r="A411" s="2" t="s">
        <v>111</v>
      </c>
      <c r="B411" s="5">
        <v>51</v>
      </c>
    </row>
    <row r="412" spans="1:2" x14ac:dyDescent="0.25">
      <c r="A412" s="2" t="s">
        <v>112</v>
      </c>
      <c r="B412" s="5">
        <v>44</v>
      </c>
    </row>
    <row r="413" spans="1:2" x14ac:dyDescent="0.25">
      <c r="A413" s="2" t="s">
        <v>113</v>
      </c>
      <c r="B413" s="5">
        <v>26</v>
      </c>
    </row>
    <row r="414" spans="1:2" x14ac:dyDescent="0.25">
      <c r="A414" s="2" t="s">
        <v>54</v>
      </c>
      <c r="B414" s="5">
        <v>58</v>
      </c>
    </row>
    <row r="415" spans="1:2" x14ac:dyDescent="0.25">
      <c r="A415" s="2" t="s">
        <v>114</v>
      </c>
      <c r="B415" s="5">
        <v>72</v>
      </c>
    </row>
    <row r="416" spans="1:2" x14ac:dyDescent="0.25">
      <c r="A416" s="2" t="s">
        <v>115</v>
      </c>
      <c r="B416" s="5">
        <v>36</v>
      </c>
    </row>
    <row r="417" spans="1:2" x14ac:dyDescent="0.25">
      <c r="A417" s="2" t="s">
        <v>116</v>
      </c>
      <c r="B417" s="5">
        <v>40</v>
      </c>
    </row>
    <row r="418" spans="1:2" x14ac:dyDescent="0.25">
      <c r="A418" s="2" t="s">
        <v>117</v>
      </c>
      <c r="B418" s="5">
        <v>10</v>
      </c>
    </row>
    <row r="419" spans="1:2" x14ac:dyDescent="0.25">
      <c r="A419" s="2" t="s">
        <v>118</v>
      </c>
      <c r="B419" s="5">
        <v>75</v>
      </c>
    </row>
    <row r="420" spans="1:2" x14ac:dyDescent="0.25">
      <c r="A420" s="2" t="s">
        <v>119</v>
      </c>
      <c r="B420" s="5">
        <v>54</v>
      </c>
    </row>
    <row r="421" spans="1:2" x14ac:dyDescent="0.25">
      <c r="A421" s="2" t="s">
        <v>120</v>
      </c>
      <c r="B421" s="5">
        <v>19</v>
      </c>
    </row>
    <row r="422" spans="1:2" x14ac:dyDescent="0.25">
      <c r="A422" s="2" t="s">
        <v>121</v>
      </c>
      <c r="B422" s="5">
        <v>71</v>
      </c>
    </row>
    <row r="423" spans="1:2" x14ac:dyDescent="0.25">
      <c r="A423" s="2" t="s">
        <v>122</v>
      </c>
      <c r="B423" s="5">
        <v>58</v>
      </c>
    </row>
    <row r="424" spans="1:2" x14ac:dyDescent="0.25">
      <c r="A424" s="2" t="s">
        <v>123</v>
      </c>
      <c r="B424" s="5">
        <v>27</v>
      </c>
    </row>
    <row r="425" spans="1:2" x14ac:dyDescent="0.25">
      <c r="A425" s="2" t="s">
        <v>58</v>
      </c>
      <c r="B425" s="5">
        <v>11</v>
      </c>
    </row>
    <row r="426" spans="1:2" x14ac:dyDescent="0.25">
      <c r="A426" s="2" t="s">
        <v>124</v>
      </c>
      <c r="B426" s="5">
        <v>22</v>
      </c>
    </row>
    <row r="427" spans="1:2" x14ac:dyDescent="0.25">
      <c r="A427" s="2" t="s">
        <v>125</v>
      </c>
      <c r="B427" s="5">
        <v>26</v>
      </c>
    </row>
    <row r="428" spans="1:2" x14ac:dyDescent="0.25">
      <c r="A428" s="2" t="s">
        <v>126</v>
      </c>
      <c r="B428" s="5">
        <v>77</v>
      </c>
    </row>
    <row r="429" spans="1:2" x14ac:dyDescent="0.25">
      <c r="A429" s="2" t="s">
        <v>127</v>
      </c>
      <c r="B429" s="5">
        <v>66</v>
      </c>
    </row>
    <row r="430" spans="1:2" x14ac:dyDescent="0.25">
      <c r="A430" s="2" t="s">
        <v>128</v>
      </c>
      <c r="B430" s="5">
        <v>1</v>
      </c>
    </row>
    <row r="431" spans="1:2" x14ac:dyDescent="0.25">
      <c r="A431" s="2" t="s">
        <v>129</v>
      </c>
      <c r="B431" s="5">
        <v>56</v>
      </c>
    </row>
    <row r="432" spans="1:2" x14ac:dyDescent="0.25">
      <c r="A432" s="2" t="s">
        <v>130</v>
      </c>
      <c r="B432" s="5">
        <v>22</v>
      </c>
    </row>
    <row r="433" spans="1:2" x14ac:dyDescent="0.25">
      <c r="A433" s="2" t="s">
        <v>131</v>
      </c>
      <c r="B433" s="5">
        <v>57</v>
      </c>
    </row>
    <row r="434" spans="1:2" x14ac:dyDescent="0.25">
      <c r="A434" s="2" t="s">
        <v>132</v>
      </c>
      <c r="B434" s="5">
        <v>51</v>
      </c>
    </row>
    <row r="435" spans="1:2" x14ac:dyDescent="0.25">
      <c r="A435" s="2" t="s">
        <v>133</v>
      </c>
      <c r="B435" s="5">
        <v>20</v>
      </c>
    </row>
    <row r="436" spans="1:2" x14ac:dyDescent="0.25">
      <c r="A436" s="2" t="s">
        <v>59</v>
      </c>
      <c r="B436" s="5">
        <v>15</v>
      </c>
    </row>
    <row r="437" spans="1:2" x14ac:dyDescent="0.25">
      <c r="A437" s="2" t="s">
        <v>134</v>
      </c>
      <c r="B437" s="5">
        <v>41</v>
      </c>
    </row>
    <row r="438" spans="1:2" x14ac:dyDescent="0.25">
      <c r="A438" s="2" t="s">
        <v>135</v>
      </c>
      <c r="B438" s="5">
        <v>8</v>
      </c>
    </row>
    <row r="439" spans="1:2" x14ac:dyDescent="0.25">
      <c r="A439" s="2" t="s">
        <v>136</v>
      </c>
      <c r="B439" s="5">
        <v>72</v>
      </c>
    </row>
    <row r="440" spans="1:2" x14ac:dyDescent="0.25">
      <c r="A440" s="2" t="s">
        <v>137</v>
      </c>
      <c r="B440" s="5">
        <v>7</v>
      </c>
    </row>
    <row r="441" spans="1:2" x14ac:dyDescent="0.25">
      <c r="A441" s="2" t="s">
        <v>138</v>
      </c>
      <c r="B441" s="5">
        <v>80</v>
      </c>
    </row>
    <row r="442" spans="1:2" x14ac:dyDescent="0.25">
      <c r="A442" s="2" t="s">
        <v>139</v>
      </c>
      <c r="B442" s="5">
        <v>66</v>
      </c>
    </row>
    <row r="443" spans="1:2" x14ac:dyDescent="0.25">
      <c r="A443" s="2" t="s">
        <v>140</v>
      </c>
      <c r="B443" s="5">
        <v>22</v>
      </c>
    </row>
    <row r="444" spans="1:2" x14ac:dyDescent="0.25">
      <c r="A444" s="2" t="s">
        <v>141</v>
      </c>
      <c r="B444" s="5">
        <v>55</v>
      </c>
    </row>
    <row r="445" spans="1:2" x14ac:dyDescent="0.25">
      <c r="A445" s="2" t="s">
        <v>142</v>
      </c>
      <c r="B445" s="5">
        <v>85</v>
      </c>
    </row>
    <row r="446" spans="1:2" x14ac:dyDescent="0.25">
      <c r="A446" s="2" t="s">
        <v>143</v>
      </c>
      <c r="B446" s="5">
        <v>27</v>
      </c>
    </row>
    <row r="447" spans="1:2" x14ac:dyDescent="0.25">
      <c r="A447" s="2" t="s">
        <v>60</v>
      </c>
      <c r="B447" s="5">
        <v>83</v>
      </c>
    </row>
    <row r="448" spans="1:2" x14ac:dyDescent="0.25">
      <c r="A448" s="2" t="s">
        <v>144</v>
      </c>
      <c r="B448" s="5">
        <v>96</v>
      </c>
    </row>
    <row r="449" spans="1:2" x14ac:dyDescent="0.25">
      <c r="A449" s="2" t="s">
        <v>145</v>
      </c>
      <c r="B449" s="5">
        <v>85</v>
      </c>
    </row>
    <row r="450" spans="1:2" x14ac:dyDescent="0.25">
      <c r="A450" s="2" t="s">
        <v>146</v>
      </c>
      <c r="B450" s="5">
        <v>10</v>
      </c>
    </row>
    <row r="451" spans="1:2" x14ac:dyDescent="0.25">
      <c r="A451" s="2" t="s">
        <v>147</v>
      </c>
      <c r="B451" s="5">
        <v>66</v>
      </c>
    </row>
    <row r="452" spans="1:2" x14ac:dyDescent="0.25">
      <c r="A452" s="2" t="s">
        <v>148</v>
      </c>
      <c r="B452" s="5">
        <v>72</v>
      </c>
    </row>
    <row r="453" spans="1:2" x14ac:dyDescent="0.25">
      <c r="A453" s="2" t="s">
        <v>149</v>
      </c>
      <c r="B453" s="5">
        <v>26</v>
      </c>
    </row>
    <row r="454" spans="1:2" x14ac:dyDescent="0.25">
      <c r="A454" s="2" t="s">
        <v>150</v>
      </c>
      <c r="B454" s="5">
        <v>32</v>
      </c>
    </row>
    <row r="455" spans="1:2" x14ac:dyDescent="0.25">
      <c r="A455" s="2" t="s">
        <v>151</v>
      </c>
      <c r="B455" s="5">
        <v>4</v>
      </c>
    </row>
    <row r="456" spans="1:2" x14ac:dyDescent="0.25">
      <c r="A456" s="2" t="s">
        <v>152</v>
      </c>
      <c r="B456" s="5">
        <v>27</v>
      </c>
    </row>
    <row r="457" spans="1:2" x14ac:dyDescent="0.25">
      <c r="A457" s="2" t="s">
        <v>153</v>
      </c>
      <c r="B457" s="5">
        <v>59</v>
      </c>
    </row>
    <row r="458" spans="1:2" x14ac:dyDescent="0.25">
      <c r="A458" s="6" t="s">
        <v>155</v>
      </c>
      <c r="B458" s="5">
        <v>4922</v>
      </c>
    </row>
    <row r="466" spans="1:2" x14ac:dyDescent="0.25">
      <c r="A466" s="1" t="s">
        <v>156</v>
      </c>
      <c r="B466" t="s">
        <v>163</v>
      </c>
    </row>
    <row r="467" spans="1:2" x14ac:dyDescent="0.25">
      <c r="A467" s="2" t="s">
        <v>36</v>
      </c>
      <c r="B467" s="5">
        <v>155.53783060623547</v>
      </c>
    </row>
    <row r="468" spans="1:2" x14ac:dyDescent="0.25">
      <c r="A468" s="2" t="s">
        <v>27</v>
      </c>
      <c r="B468" s="5">
        <v>236.8976196639353</v>
      </c>
    </row>
    <row r="469" spans="1:2" x14ac:dyDescent="0.25">
      <c r="A469" s="2" t="s">
        <v>43</v>
      </c>
      <c r="B469" s="5">
        <v>162.37945693178756</v>
      </c>
    </row>
    <row r="470" spans="1:2" x14ac:dyDescent="0.25">
      <c r="A470" s="6" t="s">
        <v>155</v>
      </c>
      <c r="B470" s="5">
        <v>554.81490720195836</v>
      </c>
    </row>
    <row r="477" spans="1:2" x14ac:dyDescent="0.25">
      <c r="A477" s="1" t="s">
        <v>156</v>
      </c>
      <c r="B477" t="s">
        <v>164</v>
      </c>
    </row>
    <row r="478" spans="1:2" x14ac:dyDescent="0.25">
      <c r="A478" s="2" t="s">
        <v>40</v>
      </c>
      <c r="B478" s="5">
        <v>14604.527497613768</v>
      </c>
    </row>
    <row r="479" spans="1:2" x14ac:dyDescent="0.25">
      <c r="A479" s="2" t="s">
        <v>47</v>
      </c>
      <c r="B479" s="5">
        <v>15168.931558531671</v>
      </c>
    </row>
    <row r="480" spans="1:2" x14ac:dyDescent="0.25">
      <c r="A480" s="2" t="s">
        <v>31</v>
      </c>
      <c r="B480" s="5">
        <v>16048.193639194949</v>
      </c>
    </row>
    <row r="481" spans="1:2" x14ac:dyDescent="0.25">
      <c r="A481" s="2" t="s">
        <v>56</v>
      </c>
      <c r="B481" s="5">
        <v>7102.9255204736692</v>
      </c>
    </row>
    <row r="482" spans="1:2" x14ac:dyDescent="0.25">
      <c r="A482" s="6" t="s">
        <v>155</v>
      </c>
      <c r="B482" s="5">
        <v>52924.578215814057</v>
      </c>
    </row>
    <row r="492" spans="1:2" x14ac:dyDescent="0.25">
      <c r="A492" s="1" t="s">
        <v>156</v>
      </c>
      <c r="B492" t="s">
        <v>166</v>
      </c>
    </row>
    <row r="493" spans="1:2" x14ac:dyDescent="0.25">
      <c r="A493" s="2" t="s">
        <v>57</v>
      </c>
      <c r="B493" s="4">
        <v>1.9192869782813149</v>
      </c>
    </row>
    <row r="494" spans="1:2" x14ac:dyDescent="0.25">
      <c r="A494" s="2" t="s">
        <v>24</v>
      </c>
      <c r="B494" s="4">
        <v>2.4831501929246214</v>
      </c>
    </row>
    <row r="495" spans="1:2" x14ac:dyDescent="0.25">
      <c r="A495" s="2" t="s">
        <v>33</v>
      </c>
      <c r="B495" s="4">
        <v>2.3346807819802327</v>
      </c>
    </row>
    <row r="496" spans="1:2" x14ac:dyDescent="0.25">
      <c r="A496" s="6" t="s">
        <v>155</v>
      </c>
      <c r="B496" s="4">
        <v>2.277157992739606</v>
      </c>
    </row>
    <row r="512" spans="1:2" x14ac:dyDescent="0.25">
      <c r="A512" s="1" t="s">
        <v>156</v>
      </c>
      <c r="B512" t="s">
        <v>165</v>
      </c>
    </row>
    <row r="513" spans="1:2" x14ac:dyDescent="0.25">
      <c r="A513" s="2" t="s">
        <v>40</v>
      </c>
      <c r="B513" s="10">
        <v>0.20825086506840504</v>
      </c>
    </row>
    <row r="514" spans="1:2" x14ac:dyDescent="0.25">
      <c r="A514" s="2" t="s">
        <v>47</v>
      </c>
      <c r="B514" s="10">
        <v>0.28512202335290149</v>
      </c>
    </row>
    <row r="515" spans="1:2" x14ac:dyDescent="0.25">
      <c r="A515" s="2" t="s">
        <v>31</v>
      </c>
      <c r="B515" s="10">
        <v>0.33378103712049212</v>
      </c>
    </row>
    <row r="516" spans="1:2" x14ac:dyDescent="0.25">
      <c r="A516" s="2" t="s">
        <v>56</v>
      </c>
      <c r="B516" s="10">
        <v>0.17284607445820127</v>
      </c>
    </row>
    <row r="517" spans="1:2" x14ac:dyDescent="0.25">
      <c r="A517" s="6" t="s">
        <v>155</v>
      </c>
      <c r="B517" s="8">
        <v>1</v>
      </c>
    </row>
  </sheetData>
  <pageMargins left="0.7" right="0.7" top="0.75" bottom="0.75" header="0.3" footer="0.3"/>
  <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8"/>
  <sheetViews>
    <sheetView topLeftCell="A52" workbookViewId="0">
      <selection activeCell="B56" sqref="B56:B59"/>
    </sheetView>
  </sheetViews>
  <sheetFormatPr defaultRowHeight="15" x14ac:dyDescent="0.25"/>
  <cols>
    <col min="1" max="1" width="13.140625" customWidth="1"/>
    <col min="2" max="2" width="25.5703125" bestFit="1" customWidth="1"/>
    <col min="3" max="3" width="5.5703125" customWidth="1"/>
    <col min="4" max="13" width="6.5703125" customWidth="1"/>
    <col min="14" max="14" width="5.5703125" customWidth="1"/>
    <col min="15" max="24" width="6.5703125" customWidth="1"/>
    <col min="25" max="25" width="5.5703125" customWidth="1"/>
    <col min="26" max="35" width="6.5703125" customWidth="1"/>
    <col min="36" max="36" width="5.5703125" customWidth="1"/>
    <col min="37" max="46" width="6.5703125" customWidth="1"/>
    <col min="47" max="47" width="5.5703125" customWidth="1"/>
    <col min="48" max="57" width="6.5703125" customWidth="1"/>
    <col min="58" max="58" width="5.5703125" customWidth="1"/>
    <col min="59" max="68" width="6.5703125" customWidth="1"/>
    <col min="69" max="69" width="5.5703125" customWidth="1"/>
    <col min="70" max="79" width="6.5703125" customWidth="1"/>
    <col min="80" max="80" width="5.5703125" customWidth="1"/>
    <col min="81" max="90" width="6.5703125" customWidth="1"/>
    <col min="91" max="91" width="5.5703125" customWidth="1"/>
    <col min="92" max="101" width="6.5703125" customWidth="1"/>
    <col min="102" max="102" width="11.28515625" bestFit="1" customWidth="1"/>
  </cols>
  <sheetData>
    <row r="1" spans="1:2" x14ac:dyDescent="0.25">
      <c r="A1" t="s">
        <v>167</v>
      </c>
    </row>
    <row r="2" spans="1:2" x14ac:dyDescent="0.25">
      <c r="A2" s="12">
        <v>577604.81873800792</v>
      </c>
    </row>
    <row r="4" spans="1:2" x14ac:dyDescent="0.25">
      <c r="A4" t="s">
        <v>169</v>
      </c>
    </row>
    <row r="5" spans="1:2" x14ac:dyDescent="0.25">
      <c r="A5">
        <v>46099</v>
      </c>
    </row>
    <row r="7" spans="1:2" x14ac:dyDescent="0.25">
      <c r="A7" s="1" t="s">
        <v>168</v>
      </c>
      <c r="B7" t="s">
        <v>170</v>
      </c>
    </row>
    <row r="8" spans="1:2" x14ac:dyDescent="0.25">
      <c r="A8" s="2" t="s">
        <v>33</v>
      </c>
      <c r="B8">
        <v>20731</v>
      </c>
    </row>
    <row r="9" spans="1:2" x14ac:dyDescent="0.25">
      <c r="A9" s="2" t="s">
        <v>155</v>
      </c>
      <c r="B9">
        <v>20731</v>
      </c>
    </row>
    <row r="14" spans="1:2" x14ac:dyDescent="0.25">
      <c r="A14" s="1" t="s">
        <v>168</v>
      </c>
      <c r="B14" t="s">
        <v>171</v>
      </c>
    </row>
    <row r="15" spans="1:2" x14ac:dyDescent="0.25">
      <c r="A15" s="2" t="s">
        <v>33</v>
      </c>
      <c r="B15" s="12">
        <v>241628.16213306302</v>
      </c>
    </row>
    <row r="16" spans="1:2" x14ac:dyDescent="0.25">
      <c r="A16" s="2" t="s">
        <v>24</v>
      </c>
      <c r="B16" s="12">
        <v>174455.39060546222</v>
      </c>
    </row>
    <row r="17" spans="1:2" x14ac:dyDescent="0.25">
      <c r="A17" s="2" t="s">
        <v>57</v>
      </c>
      <c r="B17" s="12">
        <v>161521.26599948306</v>
      </c>
    </row>
    <row r="18" spans="1:2" x14ac:dyDescent="0.25">
      <c r="A18" s="2" t="s">
        <v>155</v>
      </c>
      <c r="B18" s="12">
        <v>577604.81873800838</v>
      </c>
    </row>
    <row r="21" spans="1:2" x14ac:dyDescent="0.25">
      <c r="A21" s="1" t="s">
        <v>168</v>
      </c>
      <c r="B21" t="s">
        <v>160</v>
      </c>
    </row>
    <row r="22" spans="1:2" x14ac:dyDescent="0.25">
      <c r="A22" s="2" t="s">
        <v>57</v>
      </c>
      <c r="B22" s="11">
        <v>43.052740496493371</v>
      </c>
    </row>
    <row r="23" spans="1:2" x14ac:dyDescent="0.25">
      <c r="A23" s="2" t="s">
        <v>24</v>
      </c>
      <c r="B23" s="11">
        <v>48.457993420627218</v>
      </c>
    </row>
    <row r="24" spans="1:2" x14ac:dyDescent="0.25">
      <c r="A24" s="2" t="s">
        <v>33</v>
      </c>
      <c r="B24" s="11">
        <v>48.993157373420878</v>
      </c>
    </row>
    <row r="25" spans="1:2" x14ac:dyDescent="0.25">
      <c r="A25" s="2" t="s">
        <v>155</v>
      </c>
      <c r="B25" s="11">
        <v>47.266693241469845</v>
      </c>
    </row>
    <row r="28" spans="1:2" x14ac:dyDescent="0.25">
      <c r="A28" s="1" t="s">
        <v>168</v>
      </c>
      <c r="B28" t="s">
        <v>159</v>
      </c>
    </row>
    <row r="29" spans="1:2" x14ac:dyDescent="0.25">
      <c r="A29" s="2" t="s">
        <v>57</v>
      </c>
      <c r="B29" s="4">
        <v>15.384615384615385</v>
      </c>
    </row>
    <row r="30" spans="1:2" x14ac:dyDescent="0.25">
      <c r="A30" s="2" t="s">
        <v>24</v>
      </c>
      <c r="B30" s="4">
        <v>15.529411764705882</v>
      </c>
    </row>
    <row r="31" spans="1:2" x14ac:dyDescent="0.25">
      <c r="A31" s="2" t="s">
        <v>33</v>
      </c>
      <c r="B31" s="4">
        <v>16.7</v>
      </c>
    </row>
    <row r="32" spans="1:2" x14ac:dyDescent="0.25">
      <c r="A32" s="2" t="s">
        <v>155</v>
      </c>
      <c r="B32" s="4">
        <v>15.96</v>
      </c>
    </row>
    <row r="35" spans="1:2" x14ac:dyDescent="0.25">
      <c r="A35" s="1" t="s">
        <v>168</v>
      </c>
      <c r="B35" t="s">
        <v>172</v>
      </c>
    </row>
    <row r="36" spans="1:2" x14ac:dyDescent="0.25">
      <c r="A36" s="2" t="s">
        <v>57</v>
      </c>
      <c r="B36" s="11">
        <v>6.0601408689140364</v>
      </c>
    </row>
    <row r="37" spans="1:2" x14ac:dyDescent="0.25">
      <c r="A37" s="2" t="s">
        <v>24</v>
      </c>
      <c r="B37" s="11">
        <v>5.9077568998731858</v>
      </c>
    </row>
    <row r="38" spans="1:2" x14ac:dyDescent="0.25">
      <c r="A38" s="2" t="s">
        <v>33</v>
      </c>
      <c r="B38" s="11">
        <v>4.9096877503626262</v>
      </c>
    </row>
    <row r="39" spans="1:2" x14ac:dyDescent="0.25">
      <c r="A39" s="2" t="s">
        <v>155</v>
      </c>
      <c r="B39" s="11">
        <v>5.5481490720195827</v>
      </c>
    </row>
    <row r="42" spans="1:2" x14ac:dyDescent="0.25">
      <c r="A42" s="1" t="s">
        <v>168</v>
      </c>
      <c r="B42" t="s">
        <v>166</v>
      </c>
    </row>
    <row r="43" spans="1:2" x14ac:dyDescent="0.25">
      <c r="A43" s="2" t="s">
        <v>57</v>
      </c>
      <c r="B43" s="4">
        <v>1.9192869782813149</v>
      </c>
    </row>
    <row r="44" spans="1:2" x14ac:dyDescent="0.25">
      <c r="A44" s="2" t="s">
        <v>24</v>
      </c>
      <c r="B44" s="4">
        <v>2.4831501929246214</v>
      </c>
    </row>
    <row r="45" spans="1:2" x14ac:dyDescent="0.25">
      <c r="A45" s="2" t="s">
        <v>33</v>
      </c>
      <c r="B45" s="4">
        <v>2.3346807819802327</v>
      </c>
    </row>
    <row r="46" spans="1:2" x14ac:dyDescent="0.25">
      <c r="A46" s="2" t="s">
        <v>155</v>
      </c>
      <c r="B46" s="4">
        <v>2.277157992739606</v>
      </c>
    </row>
    <row r="48" spans="1:2" x14ac:dyDescent="0.25">
      <c r="A48" s="1" t="s">
        <v>168</v>
      </c>
      <c r="B48" t="s">
        <v>173</v>
      </c>
    </row>
    <row r="49" spans="1:2" x14ac:dyDescent="0.25">
      <c r="A49" s="2" t="s">
        <v>57</v>
      </c>
      <c r="B49">
        <v>12461</v>
      </c>
    </row>
    <row r="50" spans="1:2" x14ac:dyDescent="0.25">
      <c r="A50" s="2" t="s">
        <v>24</v>
      </c>
      <c r="B50">
        <v>19957</v>
      </c>
    </row>
    <row r="51" spans="1:2" x14ac:dyDescent="0.25">
      <c r="A51" s="2" t="s">
        <v>33</v>
      </c>
      <c r="B51">
        <v>24366</v>
      </c>
    </row>
    <row r="52" spans="1:2" x14ac:dyDescent="0.25">
      <c r="A52" s="2" t="s">
        <v>155</v>
      </c>
      <c r="B52">
        <v>56784</v>
      </c>
    </row>
    <row r="55" spans="1:2" x14ac:dyDescent="0.25">
      <c r="A55" s="1" t="s">
        <v>168</v>
      </c>
      <c r="B55" t="s">
        <v>174</v>
      </c>
    </row>
    <row r="56" spans="1:2" x14ac:dyDescent="0.25">
      <c r="A56" s="2" t="s">
        <v>33</v>
      </c>
      <c r="B56" s="12">
        <v>241628.16213306304</v>
      </c>
    </row>
    <row r="57" spans="1:2" x14ac:dyDescent="0.25">
      <c r="A57" s="2" t="s">
        <v>155</v>
      </c>
      <c r="B57" s="12">
        <v>241628.16213306304</v>
      </c>
    </row>
    <row r="72" spans="1:2" x14ac:dyDescent="0.25">
      <c r="A72" s="1" t="s">
        <v>168</v>
      </c>
      <c r="B72" t="s">
        <v>154</v>
      </c>
    </row>
    <row r="73" spans="1:2" x14ac:dyDescent="0.25">
      <c r="A73" s="2" t="s">
        <v>45</v>
      </c>
      <c r="B73" s="12">
        <v>77886.265902635438</v>
      </c>
    </row>
    <row r="74" spans="1:2" x14ac:dyDescent="0.25">
      <c r="A74" s="2" t="s">
        <v>62</v>
      </c>
      <c r="B74" s="12">
        <v>58957.419359110936</v>
      </c>
    </row>
    <row r="75" spans="1:2" x14ac:dyDescent="0.25">
      <c r="A75" s="2" t="s">
        <v>29</v>
      </c>
      <c r="B75" s="12">
        <v>44174.538436971299</v>
      </c>
    </row>
    <row r="76" spans="1:2" x14ac:dyDescent="0.25">
      <c r="A76" s="2" t="s">
        <v>53</v>
      </c>
      <c r="B76" s="12">
        <v>31637.815306799101</v>
      </c>
    </row>
    <row r="77" spans="1:2" x14ac:dyDescent="0.25">
      <c r="A77" s="2" t="s">
        <v>50</v>
      </c>
      <c r="B77" s="12">
        <v>28972.12312754626</v>
      </c>
    </row>
    <row r="78" spans="1:2" x14ac:dyDescent="0.25">
      <c r="A78" s="2" t="s">
        <v>155</v>
      </c>
      <c r="B78" s="12">
        <v>241628.16213306307</v>
      </c>
    </row>
    <row r="89" spans="1:2" x14ac:dyDescent="0.25">
      <c r="A89" s="1" t="s">
        <v>168</v>
      </c>
      <c r="B89" t="s">
        <v>154</v>
      </c>
    </row>
    <row r="90" spans="1:2" x14ac:dyDescent="0.25">
      <c r="A90" s="2" t="s">
        <v>27</v>
      </c>
      <c r="B90" s="12">
        <v>89157.328433907896</v>
      </c>
    </row>
    <row r="91" spans="1:2" x14ac:dyDescent="0.25">
      <c r="A91" s="2" t="s">
        <v>43</v>
      </c>
      <c r="B91" s="12">
        <v>85516.357754999175</v>
      </c>
    </row>
    <row r="92" spans="1:2" x14ac:dyDescent="0.25">
      <c r="A92" s="2" t="s">
        <v>36</v>
      </c>
      <c r="B92" s="12">
        <v>66954.475944155958</v>
      </c>
    </row>
    <row r="93" spans="1:2" x14ac:dyDescent="0.25">
      <c r="A93" s="2" t="s">
        <v>155</v>
      </c>
      <c r="B93" s="12">
        <v>241628.16213306302</v>
      </c>
    </row>
    <row r="106" spans="1:2" x14ac:dyDescent="0.25">
      <c r="A106" s="1" t="s">
        <v>168</v>
      </c>
      <c r="B106" t="s">
        <v>154</v>
      </c>
    </row>
    <row r="107" spans="1:2" x14ac:dyDescent="0.25">
      <c r="A107" s="2" t="s">
        <v>39</v>
      </c>
      <c r="B107" s="12">
        <v>96726.444476262419</v>
      </c>
    </row>
    <row r="108" spans="1:2" x14ac:dyDescent="0.25">
      <c r="A108" s="2" t="s">
        <v>28</v>
      </c>
      <c r="B108" s="12">
        <v>61471.80734994448</v>
      </c>
    </row>
    <row r="109" spans="1:2" x14ac:dyDescent="0.25">
      <c r="A109" s="2" t="s">
        <v>44</v>
      </c>
      <c r="B109" s="12">
        <v>41238.403934057453</v>
      </c>
    </row>
    <row r="110" spans="1:2" x14ac:dyDescent="0.25">
      <c r="A110" s="2" t="s">
        <v>61</v>
      </c>
      <c r="B110" s="12">
        <v>23500.340091725939</v>
      </c>
    </row>
    <row r="111" spans="1:2" x14ac:dyDescent="0.25">
      <c r="A111" s="2" t="s">
        <v>52</v>
      </c>
      <c r="B111" s="12">
        <v>18691.166281072728</v>
      </c>
    </row>
    <row r="112" spans="1:2" x14ac:dyDescent="0.25">
      <c r="A112" s="2" t="s">
        <v>155</v>
      </c>
      <c r="B112" s="12">
        <v>241628.16213306302</v>
      </c>
    </row>
    <row r="124" spans="1:2" x14ac:dyDescent="0.25">
      <c r="A124" s="1" t="s">
        <v>168</v>
      </c>
      <c r="B124" t="s">
        <v>175</v>
      </c>
    </row>
    <row r="125" spans="1:2" x14ac:dyDescent="0.25">
      <c r="A125" s="2" t="s">
        <v>36</v>
      </c>
      <c r="B125" s="5">
        <v>513</v>
      </c>
    </row>
    <row r="126" spans="1:2" x14ac:dyDescent="0.25">
      <c r="A126" s="2" t="s">
        <v>27</v>
      </c>
      <c r="B126" s="5">
        <v>698</v>
      </c>
    </row>
    <row r="127" spans="1:2" x14ac:dyDescent="0.25">
      <c r="A127" s="2" t="s">
        <v>43</v>
      </c>
      <c r="B127" s="5">
        <v>497</v>
      </c>
    </row>
    <row r="128" spans="1:2" x14ac:dyDescent="0.25">
      <c r="A128" s="2" t="s">
        <v>155</v>
      </c>
      <c r="B128" s="5">
        <v>1708</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5DAAF3A7-04B7-4217-9221-E5BB00830A5C}">
  <ds:schemaRefs/>
</ds:datastoreItem>
</file>

<file path=customXml/itemProps2.xml><?xml version="1.0" encoding="utf-8"?>
<ds:datastoreItem xmlns:ds="http://schemas.openxmlformats.org/officeDocument/2006/customXml" ds:itemID="{06E26202-3360-4D8C-B4D4-2ACB858E0BAA}">
  <ds:schemaRefs/>
</ds:datastoreItem>
</file>

<file path=customXml/itemProps3.xml><?xml version="1.0" encoding="utf-8"?>
<ds:datastoreItem xmlns:ds="http://schemas.openxmlformats.org/officeDocument/2006/customXml" ds:itemID="{1C7BC5A4-1DDC-4669-8722-7E503B3251E8}">
  <ds:schemaRefs/>
</ds:datastoreItem>
</file>

<file path=customXml/itemProps4.xml><?xml version="1.0" encoding="utf-8"?>
<ds:datastoreItem xmlns:ds="http://schemas.openxmlformats.org/officeDocument/2006/customXml" ds:itemID="{FE402749-E455-49AB-977F-67E50F101038}">
  <ds:schemaRefs/>
</ds:datastoreItem>
</file>

<file path=customXml/itemProps5.xml><?xml version="1.0" encoding="utf-8"?>
<ds:datastoreItem xmlns:ds="http://schemas.openxmlformats.org/officeDocument/2006/customXml" ds:itemID="{51D4C200-06C8-4496-B20B-8047DC73CBDB}">
  <ds:schemaRefs/>
</ds:datastoreItem>
</file>

<file path=customXml/itemProps6.xml><?xml version="1.0" encoding="utf-8"?>
<ds:datastoreItem xmlns:ds="http://schemas.openxmlformats.org/officeDocument/2006/customXml" ds:itemID="{96317279-71C8-4984-B2CA-2E026C01AA9F}">
  <ds:schemaRefs/>
</ds:datastoreItem>
</file>

<file path=customXml/itemProps7.xml><?xml version="1.0" encoding="utf-8"?>
<ds:datastoreItem xmlns:ds="http://schemas.openxmlformats.org/officeDocument/2006/customXml" ds:itemID="{9D71E075-D5B0-4FF1-89BB-EFA2B831FFE8}">
  <ds:schemaRefs/>
</ds:datastoreItem>
</file>

<file path=customXml/itemProps8.xml><?xml version="1.0" encoding="utf-8"?>
<ds:datastoreItem xmlns:ds="http://schemas.openxmlformats.org/officeDocument/2006/customXml" ds:itemID="{1FD98609-FE2A-4BF5-90CD-CB12CD14098F}">
  <ds:schemaRefs/>
</ds:datastoreItem>
</file>

<file path=customXml/itemProps9.xml><?xml version="1.0" encoding="utf-8"?>
<ds:datastoreItem xmlns:ds="http://schemas.openxmlformats.org/officeDocument/2006/customXml" ds:itemID="{8A78750A-384C-4E0D-ABDA-890BFC06A1C6}">
  <ds:schemaRefs/>
</ds:datastoreItem>
</file>

<file path=customXml/itemProps10.xml><?xml version="1.0" encoding="utf-8"?>
<ds:datastoreItem xmlns:ds="http://schemas.openxmlformats.org/officeDocument/2006/customXml" ds:itemID="{FBA6835E-D908-420E-AA71-4B42773626B0}">
  <ds:schemaRefs/>
</ds:datastoreItem>
</file>

<file path=customXml/itemProps11.xml><?xml version="1.0" encoding="utf-8"?>
<ds:datastoreItem xmlns:ds="http://schemas.openxmlformats.org/officeDocument/2006/customXml" ds:itemID="{59E84319-44B9-4EEF-B5D0-F4B08E402526}">
  <ds:schemaRefs/>
</ds:datastoreItem>
</file>

<file path=customXml/itemProps12.xml><?xml version="1.0" encoding="utf-8"?>
<ds:datastoreItem xmlns:ds="http://schemas.openxmlformats.org/officeDocument/2006/customXml" ds:itemID="{79253561-85D0-4699-955B-77EE1D745A04}">
  <ds:schemaRefs/>
</ds:datastoreItem>
</file>

<file path=customXml/itemProps13.xml><?xml version="1.0" encoding="utf-8"?>
<ds:datastoreItem xmlns:ds="http://schemas.openxmlformats.org/officeDocument/2006/customXml" ds:itemID="{C43402D5-EA07-45E3-8EE0-CA0336226A34}">
  <ds:schemaRefs/>
</ds:datastoreItem>
</file>

<file path=customXml/itemProps14.xml><?xml version="1.0" encoding="utf-8"?>
<ds:datastoreItem xmlns:ds="http://schemas.openxmlformats.org/officeDocument/2006/customXml" ds:itemID="{61057898-227E-4162-BB21-57C9D6F23867}">
  <ds:schemaRefs/>
</ds:datastoreItem>
</file>

<file path=customXml/itemProps15.xml><?xml version="1.0" encoding="utf-8"?>
<ds:datastoreItem xmlns:ds="http://schemas.openxmlformats.org/officeDocument/2006/customXml" ds:itemID="{856B2372-0E3F-4918-8514-A18EF2BE2460}">
  <ds:schemaRefs/>
</ds:datastoreItem>
</file>

<file path=customXml/itemProps16.xml><?xml version="1.0" encoding="utf-8"?>
<ds:datastoreItem xmlns:ds="http://schemas.openxmlformats.org/officeDocument/2006/customXml" ds:itemID="{042043EF-9F8F-4628-B676-1BC2EA27F6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Insights</vt:lpstr>
      <vt:lpstr>Pivot</vt:lpstr>
      <vt:lpstr>Analysis</vt:lpstr>
      <vt:lpstr>supply_chain_data</vt:lpstr>
      <vt:lpstr>Pivot Table for Report</vt:lpstr>
      <vt:lpstr>Pivot Table for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Adegboyega Aare</dc:creator>
  <cp:lastModifiedBy>Hp</cp:lastModifiedBy>
  <dcterms:created xsi:type="dcterms:W3CDTF">2023-06-01T16:08:41Z</dcterms:created>
  <dcterms:modified xsi:type="dcterms:W3CDTF">2026-04-17T16:16:31Z</dcterms:modified>
</cp:coreProperties>
</file>